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ung6\Desktop\Consulting\AEI\2026 Projects\Corn Demand\from David\New folder\cleaned\"/>
    </mc:Choice>
  </mc:AlternateContent>
  <xr:revisionPtr revIDLastSave="0" documentId="13_ncr:1_{28466CFB-2191-4D7B-9708-7D789396D741}" xr6:coauthVersionLast="47" xr6:coauthVersionMax="47" xr10:uidLastSave="{00000000-0000-0000-0000-000000000000}"/>
  <bookViews>
    <workbookView xWindow="22932" yWindow="-108" windowWidth="23256" windowHeight="12456" firstSheet="1" activeTab="2" xr2:uid="{BF5E511F-153E-48DA-9994-BA36C0F1CF79}"/>
  </bookViews>
  <sheets>
    <sheet name="old method --- not used" sheetId="2" r:id="rId1"/>
    <sheet name="Shapley Decomposition" sheetId="1" r:id="rId2"/>
    <sheet name="decomp w z-scores" sheetId="6" r:id="rId3"/>
    <sheet name="chart1" sheetId="3" r:id="rId4"/>
    <sheet name="chart1 w demand" sheetId="5" r:id="rId5"/>
    <sheet name="stacked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6" l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C32" i="6" l="1"/>
  <c r="T31" i="6"/>
  <c r="Q31" i="6"/>
  <c r="P31" i="6"/>
  <c r="I31" i="6"/>
  <c r="J31" i="6" s="1"/>
  <c r="K31" i="6" s="1"/>
  <c r="L31" i="6" s="1"/>
  <c r="H31" i="6"/>
  <c r="D31" i="6"/>
  <c r="W31" i="6" s="1"/>
  <c r="B31" i="6"/>
  <c r="V31" i="6" s="1"/>
  <c r="C28" i="6" a="1"/>
  <c r="C28" i="6" s="1"/>
  <c r="C34" i="6" s="1"/>
  <c r="W27" i="6"/>
  <c r="V27" i="6"/>
  <c r="Q27" i="6"/>
  <c r="P27" i="6"/>
  <c r="H27" i="6"/>
  <c r="W26" i="6"/>
  <c r="V26" i="6"/>
  <c r="Q26" i="6"/>
  <c r="P26" i="6"/>
  <c r="H26" i="6"/>
  <c r="W25" i="6"/>
  <c r="Q25" i="6"/>
  <c r="P25" i="6"/>
  <c r="H25" i="6"/>
  <c r="I25" i="6" s="1"/>
  <c r="J25" i="6" s="1"/>
  <c r="K25" i="6" s="1"/>
  <c r="L25" i="6" s="1"/>
  <c r="T24" i="6"/>
  <c r="Q24" i="6"/>
  <c r="P24" i="6"/>
  <c r="H24" i="6"/>
  <c r="I24" i="6" s="1"/>
  <c r="J24" i="6" s="1"/>
  <c r="K24" i="6" s="1"/>
  <c r="L24" i="6" s="1"/>
  <c r="V23" i="6"/>
  <c r="T23" i="6"/>
  <c r="Q23" i="6"/>
  <c r="P23" i="6"/>
  <c r="I23" i="6"/>
  <c r="J23" i="6" s="1"/>
  <c r="K23" i="6" s="1"/>
  <c r="L23" i="6" s="1"/>
  <c r="H23" i="6"/>
  <c r="W22" i="6"/>
  <c r="V22" i="6"/>
  <c r="P22" i="6"/>
  <c r="J22" i="6"/>
  <c r="K22" i="6" s="1"/>
  <c r="L22" i="6" s="1"/>
  <c r="I22" i="6"/>
  <c r="H22" i="6"/>
  <c r="W21" i="6"/>
  <c r="V21" i="6"/>
  <c r="T21" i="6"/>
  <c r="P21" i="6"/>
  <c r="H21" i="6"/>
  <c r="W20" i="6"/>
  <c r="V20" i="6"/>
  <c r="Q20" i="6"/>
  <c r="P20" i="6"/>
  <c r="H20" i="6"/>
  <c r="I20" i="6" s="1"/>
  <c r="J20" i="6" s="1"/>
  <c r="K20" i="6" s="1"/>
  <c r="L20" i="6" s="1"/>
  <c r="W19" i="6"/>
  <c r="V19" i="6"/>
  <c r="Q19" i="6"/>
  <c r="P19" i="6"/>
  <c r="H19" i="6"/>
  <c r="T19" i="6" s="1"/>
  <c r="W18" i="6"/>
  <c r="V18" i="6"/>
  <c r="Q18" i="6"/>
  <c r="P18" i="6"/>
  <c r="I18" i="6"/>
  <c r="J18" i="6" s="1"/>
  <c r="K18" i="6" s="1"/>
  <c r="L18" i="6" s="1"/>
  <c r="H18" i="6"/>
  <c r="W17" i="6"/>
  <c r="Q17" i="6"/>
  <c r="P17" i="6"/>
  <c r="H17" i="6"/>
  <c r="Q16" i="6"/>
  <c r="P16" i="6"/>
  <c r="H16" i="6"/>
  <c r="V15" i="6"/>
  <c r="T15" i="6"/>
  <c r="Q15" i="6"/>
  <c r="P15" i="6"/>
  <c r="I15" i="6"/>
  <c r="J15" i="6" s="1"/>
  <c r="K15" i="6" s="1"/>
  <c r="L15" i="6" s="1"/>
  <c r="H15" i="6"/>
  <c r="W14" i="6"/>
  <c r="V14" i="6"/>
  <c r="P14" i="6"/>
  <c r="J14" i="6"/>
  <c r="K14" i="6" s="1"/>
  <c r="L14" i="6" s="1"/>
  <c r="I14" i="6"/>
  <c r="H14" i="6"/>
  <c r="W13" i="6"/>
  <c r="V13" i="6"/>
  <c r="T13" i="6"/>
  <c r="P13" i="6"/>
  <c r="H13" i="6"/>
  <c r="I13" i="6" s="1"/>
  <c r="J13" i="6" s="1"/>
  <c r="K13" i="6" s="1"/>
  <c r="L13" i="6" s="1"/>
  <c r="W12" i="6"/>
  <c r="V12" i="6"/>
  <c r="Q12" i="6"/>
  <c r="P12" i="6"/>
  <c r="H12" i="6"/>
  <c r="I12" i="6" s="1"/>
  <c r="J12" i="6" s="1"/>
  <c r="K12" i="6" s="1"/>
  <c r="L12" i="6" s="1"/>
  <c r="W11" i="6"/>
  <c r="V11" i="6"/>
  <c r="Q11" i="6"/>
  <c r="P11" i="6"/>
  <c r="H11" i="6"/>
  <c r="W10" i="6"/>
  <c r="V10" i="6"/>
  <c r="Q10" i="6"/>
  <c r="P10" i="6"/>
  <c r="H10" i="6"/>
  <c r="T10" i="6" s="1"/>
  <c r="W9" i="6"/>
  <c r="T9" i="6"/>
  <c r="Q9" i="6"/>
  <c r="P9" i="6"/>
  <c r="I9" i="6"/>
  <c r="J9" i="6" s="1"/>
  <c r="K9" i="6" s="1"/>
  <c r="L9" i="6" s="1"/>
  <c r="H9" i="6"/>
  <c r="Q8" i="6"/>
  <c r="P8" i="6"/>
  <c r="I8" i="6"/>
  <c r="J8" i="6" s="1"/>
  <c r="K8" i="6" s="1"/>
  <c r="L8" i="6" s="1"/>
  <c r="H8" i="6"/>
  <c r="T8" i="6" s="1"/>
  <c r="V7" i="6"/>
  <c r="T7" i="6"/>
  <c r="Q7" i="6"/>
  <c r="P7" i="6"/>
  <c r="J7" i="6"/>
  <c r="K7" i="6" s="1"/>
  <c r="L7" i="6" s="1"/>
  <c r="I7" i="6"/>
  <c r="H7" i="6"/>
  <c r="W6" i="6"/>
  <c r="V6" i="6"/>
  <c r="T6" i="6"/>
  <c r="P6" i="6"/>
  <c r="J6" i="6"/>
  <c r="K6" i="6" s="1"/>
  <c r="L6" i="6" s="1"/>
  <c r="I6" i="6"/>
  <c r="H6" i="6"/>
  <c r="W5" i="6"/>
  <c r="V5" i="6"/>
  <c r="P5" i="6"/>
  <c r="H5" i="6"/>
  <c r="I5" i="6" s="1"/>
  <c r="J5" i="6" s="1"/>
  <c r="K5" i="6" s="1"/>
  <c r="L5" i="6" s="1"/>
  <c r="W4" i="6"/>
  <c r="V4" i="6"/>
  <c r="Q4" i="6"/>
  <c r="P4" i="6"/>
  <c r="H4" i="6"/>
  <c r="T4" i="6" s="1"/>
  <c r="W3" i="6"/>
  <c r="V3" i="6"/>
  <c r="Q3" i="6"/>
  <c r="P3" i="6"/>
  <c r="H3" i="6"/>
  <c r="T3" i="6" s="1"/>
  <c r="Q2" i="6"/>
  <c r="P2" i="6"/>
  <c r="H2" i="6"/>
  <c r="I2" i="6" s="1"/>
  <c r="J2" i="6" s="1"/>
  <c r="K2" i="6" s="1"/>
  <c r="L2" i="6" s="1"/>
  <c r="F2" i="6"/>
  <c r="V25" i="6" s="1"/>
  <c r="T27" i="2"/>
  <c r="S27" i="2"/>
  <c r="Q27" i="2"/>
  <c r="I27" i="2"/>
  <c r="J27" i="2" s="1"/>
  <c r="K27" i="2" s="1"/>
  <c r="L27" i="2" s="1"/>
  <c r="H27" i="2"/>
  <c r="T26" i="2"/>
  <c r="S26" i="2"/>
  <c r="O26" i="2"/>
  <c r="H26" i="2"/>
  <c r="Q26" i="2" s="1"/>
  <c r="T25" i="2"/>
  <c r="S25" i="2"/>
  <c r="H25" i="2"/>
  <c r="T24" i="2"/>
  <c r="S24" i="2"/>
  <c r="H24" i="2"/>
  <c r="Q24" i="2" s="1"/>
  <c r="T23" i="2"/>
  <c r="S23" i="2"/>
  <c r="H23" i="2"/>
  <c r="I23" i="2" s="1"/>
  <c r="J23" i="2" s="1"/>
  <c r="K23" i="2" s="1"/>
  <c r="L23" i="2" s="1"/>
  <c r="T22" i="2"/>
  <c r="S22" i="2"/>
  <c r="Q22" i="2"/>
  <c r="H22" i="2"/>
  <c r="Q23" i="2" s="1"/>
  <c r="T21" i="2"/>
  <c r="S21" i="2"/>
  <c r="Q21" i="2"/>
  <c r="O21" i="2"/>
  <c r="H21" i="2"/>
  <c r="I21" i="2" s="1"/>
  <c r="J21" i="2" s="1"/>
  <c r="K21" i="2" s="1"/>
  <c r="L21" i="2" s="1"/>
  <c r="T20" i="2"/>
  <c r="S20" i="2"/>
  <c r="K20" i="2"/>
  <c r="L20" i="2" s="1"/>
  <c r="H20" i="2"/>
  <c r="I20" i="2" s="1"/>
  <c r="J20" i="2" s="1"/>
  <c r="T19" i="2"/>
  <c r="S19" i="2"/>
  <c r="I19" i="2"/>
  <c r="J19" i="2" s="1"/>
  <c r="K19" i="2" s="1"/>
  <c r="L19" i="2" s="1"/>
  <c r="H19" i="2"/>
  <c r="T18" i="2"/>
  <c r="S18" i="2"/>
  <c r="H18" i="2"/>
  <c r="T17" i="2"/>
  <c r="S17" i="2"/>
  <c r="Q17" i="2"/>
  <c r="H17" i="2"/>
  <c r="I17" i="2" s="1"/>
  <c r="J17" i="2" s="1"/>
  <c r="K17" i="2" s="1"/>
  <c r="L17" i="2" s="1"/>
  <c r="T16" i="2"/>
  <c r="S16" i="2"/>
  <c r="Q16" i="2"/>
  <c r="H16" i="2"/>
  <c r="I16" i="2" s="1"/>
  <c r="J16" i="2" s="1"/>
  <c r="K16" i="2" s="1"/>
  <c r="T15" i="2"/>
  <c r="S15" i="2"/>
  <c r="H15" i="2"/>
  <c r="I15" i="2" s="1"/>
  <c r="J15" i="2" s="1"/>
  <c r="K15" i="2" s="1"/>
  <c r="L15" i="2" s="1"/>
  <c r="T14" i="2"/>
  <c r="S14" i="2"/>
  <c r="I14" i="2"/>
  <c r="J14" i="2" s="1"/>
  <c r="K14" i="2" s="1"/>
  <c r="L14" i="2" s="1"/>
  <c r="H14" i="2"/>
  <c r="Q14" i="2" s="1"/>
  <c r="T13" i="2"/>
  <c r="S13" i="2"/>
  <c r="Q13" i="2"/>
  <c r="H13" i="2"/>
  <c r="I13" i="2" s="1"/>
  <c r="J13" i="2" s="1"/>
  <c r="K13" i="2" s="1"/>
  <c r="L13" i="2" s="1"/>
  <c r="T12" i="2"/>
  <c r="S12" i="2"/>
  <c r="Q12" i="2"/>
  <c r="H12" i="2"/>
  <c r="I12" i="2" s="1"/>
  <c r="J12" i="2" s="1"/>
  <c r="K12" i="2" s="1"/>
  <c r="L12" i="2" s="1"/>
  <c r="T11" i="2"/>
  <c r="S11" i="2"/>
  <c r="Q11" i="2"/>
  <c r="I11" i="2"/>
  <c r="J11" i="2" s="1"/>
  <c r="K11" i="2" s="1"/>
  <c r="H11" i="2"/>
  <c r="T10" i="2"/>
  <c r="S10" i="2"/>
  <c r="H10" i="2"/>
  <c r="T9" i="2"/>
  <c r="S9" i="2"/>
  <c r="I9" i="2"/>
  <c r="J9" i="2" s="1"/>
  <c r="K9" i="2" s="1"/>
  <c r="L9" i="2" s="1"/>
  <c r="H9" i="2"/>
  <c r="T8" i="2"/>
  <c r="S8" i="2"/>
  <c r="H8" i="2"/>
  <c r="Q8" i="2" s="1"/>
  <c r="T7" i="2"/>
  <c r="S7" i="2"/>
  <c r="H7" i="2"/>
  <c r="Q7" i="2" s="1"/>
  <c r="T6" i="2"/>
  <c r="S6" i="2"/>
  <c r="H6" i="2"/>
  <c r="I6" i="2" s="1"/>
  <c r="J6" i="2" s="1"/>
  <c r="K6" i="2" s="1"/>
  <c r="L6" i="2" s="1"/>
  <c r="T5" i="2"/>
  <c r="S5" i="2"/>
  <c r="I5" i="2"/>
  <c r="J5" i="2" s="1"/>
  <c r="K5" i="2" s="1"/>
  <c r="L5" i="2" s="1"/>
  <c r="H5" i="2"/>
  <c r="Q5" i="2" s="1"/>
  <c r="T4" i="2"/>
  <c r="S4" i="2"/>
  <c r="Q4" i="2"/>
  <c r="H4" i="2"/>
  <c r="I4" i="2" s="1"/>
  <c r="J4" i="2" s="1"/>
  <c r="K4" i="2" s="1"/>
  <c r="L4" i="2" s="1"/>
  <c r="T3" i="2"/>
  <c r="S3" i="2"/>
  <c r="Q3" i="2"/>
  <c r="O3" i="2"/>
  <c r="I3" i="2"/>
  <c r="J3" i="2" s="1"/>
  <c r="K3" i="2" s="1"/>
  <c r="L3" i="2" s="1"/>
  <c r="H3" i="2"/>
  <c r="T2" i="2"/>
  <c r="S2" i="2"/>
  <c r="H2" i="2"/>
  <c r="I2" i="2" s="1"/>
  <c r="J2" i="2" s="1"/>
  <c r="K2" i="2" s="1"/>
  <c r="L2" i="2" s="1"/>
  <c r="F2" i="2"/>
  <c r="P27" i="1"/>
  <c r="O27" i="1"/>
  <c r="H27" i="1"/>
  <c r="P26" i="1"/>
  <c r="O26" i="1"/>
  <c r="H26" i="1"/>
  <c r="P25" i="1"/>
  <c r="O25" i="1"/>
  <c r="H25" i="1"/>
  <c r="I25" i="1" s="1"/>
  <c r="J25" i="1" s="1"/>
  <c r="K25" i="1" s="1"/>
  <c r="P24" i="1"/>
  <c r="O24" i="1"/>
  <c r="H24" i="1"/>
  <c r="I24" i="1" s="1"/>
  <c r="J24" i="1" s="1"/>
  <c r="K24" i="1" s="1"/>
  <c r="P23" i="1"/>
  <c r="O23" i="1"/>
  <c r="H23" i="1"/>
  <c r="P22" i="1"/>
  <c r="O22" i="1"/>
  <c r="H22" i="1"/>
  <c r="I22" i="1" s="1"/>
  <c r="J22" i="1" s="1"/>
  <c r="K22" i="1" s="1"/>
  <c r="P21" i="1"/>
  <c r="O21" i="1"/>
  <c r="H21" i="1"/>
  <c r="I21" i="1" s="1"/>
  <c r="J21" i="1" s="1"/>
  <c r="K21" i="1" s="1"/>
  <c r="P20" i="1"/>
  <c r="O20" i="1"/>
  <c r="H20" i="1"/>
  <c r="I20" i="1" s="1"/>
  <c r="J20" i="1" s="1"/>
  <c r="K20" i="1" s="1"/>
  <c r="P19" i="1"/>
  <c r="O19" i="1"/>
  <c r="H19" i="1"/>
  <c r="P18" i="1"/>
  <c r="O18" i="1"/>
  <c r="H18" i="1"/>
  <c r="P17" i="1"/>
  <c r="O17" i="1"/>
  <c r="H17" i="1"/>
  <c r="P16" i="1"/>
  <c r="O16" i="1"/>
  <c r="H16" i="1"/>
  <c r="I16" i="1" s="1"/>
  <c r="J16" i="1" s="1"/>
  <c r="K16" i="1" s="1"/>
  <c r="P15" i="1"/>
  <c r="O15" i="1"/>
  <c r="H15" i="1"/>
  <c r="I15" i="1" s="1"/>
  <c r="J15" i="1" s="1"/>
  <c r="K15" i="1" s="1"/>
  <c r="P14" i="1"/>
  <c r="O14" i="1"/>
  <c r="H14" i="1"/>
  <c r="I14" i="1" s="1"/>
  <c r="J14" i="1" s="1"/>
  <c r="K14" i="1" s="1"/>
  <c r="P13" i="1"/>
  <c r="O13" i="1"/>
  <c r="H13" i="1"/>
  <c r="P12" i="1"/>
  <c r="O12" i="1"/>
  <c r="H12" i="1"/>
  <c r="I12" i="1" s="1"/>
  <c r="J12" i="1" s="1"/>
  <c r="K12" i="1" s="1"/>
  <c r="P11" i="1"/>
  <c r="O11" i="1"/>
  <c r="H11" i="1"/>
  <c r="P10" i="1"/>
  <c r="O10" i="1"/>
  <c r="H10" i="1"/>
  <c r="P9" i="1"/>
  <c r="O9" i="1"/>
  <c r="H9" i="1"/>
  <c r="I9" i="1" s="1"/>
  <c r="J9" i="1" s="1"/>
  <c r="K9" i="1" s="1"/>
  <c r="P8" i="1"/>
  <c r="O8" i="1"/>
  <c r="H8" i="1"/>
  <c r="I8" i="1" s="1"/>
  <c r="J8" i="1" s="1"/>
  <c r="K8" i="1" s="1"/>
  <c r="P7" i="1"/>
  <c r="O7" i="1"/>
  <c r="H7" i="1"/>
  <c r="I7" i="1" s="1"/>
  <c r="J7" i="1" s="1"/>
  <c r="K7" i="1" s="1"/>
  <c r="P6" i="1"/>
  <c r="O6" i="1"/>
  <c r="H6" i="1"/>
  <c r="P5" i="1"/>
  <c r="O5" i="1"/>
  <c r="H5" i="1"/>
  <c r="I5" i="1" s="1"/>
  <c r="J5" i="1" s="1"/>
  <c r="K5" i="1" s="1"/>
  <c r="P4" i="1"/>
  <c r="O4" i="1"/>
  <c r="H4" i="1"/>
  <c r="I4" i="1" s="1"/>
  <c r="J4" i="1" s="1"/>
  <c r="K4" i="1" s="1"/>
  <c r="P3" i="1"/>
  <c r="O3" i="1"/>
  <c r="H3" i="1"/>
  <c r="I3" i="1" s="1"/>
  <c r="J3" i="1" s="1"/>
  <c r="K3" i="1" s="1"/>
  <c r="P2" i="1"/>
  <c r="O2" i="1"/>
  <c r="H2" i="1"/>
  <c r="I2" i="1" s="1"/>
  <c r="J2" i="1" s="1"/>
  <c r="K2" i="1" s="1"/>
  <c r="F2" i="1"/>
  <c r="W26" i="1" s="1"/>
  <c r="C33" i="6" l="1"/>
  <c r="T17" i="6"/>
  <c r="I17" i="6"/>
  <c r="J17" i="6" s="1"/>
  <c r="K17" i="6" s="1"/>
  <c r="L17" i="6" s="1"/>
  <c r="I16" i="6"/>
  <c r="J16" i="6" s="1"/>
  <c r="K16" i="6" s="1"/>
  <c r="L16" i="6" s="1"/>
  <c r="T16" i="6"/>
  <c r="I10" i="6"/>
  <c r="J10" i="6" s="1"/>
  <c r="K10" i="6" s="1"/>
  <c r="L10" i="6" s="1"/>
  <c r="T25" i="6"/>
  <c r="I4" i="6"/>
  <c r="J4" i="6" s="1"/>
  <c r="K4" i="6" s="1"/>
  <c r="L4" i="6" s="1"/>
  <c r="H33" i="6" a="1"/>
  <c r="H33" i="6" s="1"/>
  <c r="T14" i="6"/>
  <c r="I21" i="6"/>
  <c r="J21" i="6" s="1"/>
  <c r="K21" i="6" s="1"/>
  <c r="L21" i="6" s="1"/>
  <c r="T22" i="6"/>
  <c r="I3" i="6"/>
  <c r="J3" i="6" s="1"/>
  <c r="K3" i="6" s="1"/>
  <c r="L3" i="6" s="1"/>
  <c r="T12" i="6"/>
  <c r="I19" i="6"/>
  <c r="J19" i="6" s="1"/>
  <c r="K19" i="6" s="1"/>
  <c r="L19" i="6" s="1"/>
  <c r="T26" i="6"/>
  <c r="I26" i="6"/>
  <c r="J26" i="6" s="1"/>
  <c r="K26" i="6" s="1"/>
  <c r="L26" i="6" s="1"/>
  <c r="T27" i="6"/>
  <c r="T11" i="6"/>
  <c r="T20" i="6"/>
  <c r="I27" i="6"/>
  <c r="J27" i="6" s="1"/>
  <c r="K27" i="6" s="1"/>
  <c r="L27" i="6" s="1"/>
  <c r="T5" i="6"/>
  <c r="I11" i="6"/>
  <c r="J11" i="6" s="1"/>
  <c r="K11" i="6" s="1"/>
  <c r="T18" i="6"/>
  <c r="Q5" i="6"/>
  <c r="W7" i="6"/>
  <c r="V8" i="6"/>
  <c r="Q13" i="6"/>
  <c r="W15" i="6"/>
  <c r="V16" i="6"/>
  <c r="Q21" i="6"/>
  <c r="W23" i="6"/>
  <c r="V24" i="6"/>
  <c r="Q6" i="6"/>
  <c r="W8" i="6"/>
  <c r="V9" i="6"/>
  <c r="Q14" i="6"/>
  <c r="W16" i="6"/>
  <c r="V17" i="6"/>
  <c r="Q22" i="6"/>
  <c r="W24" i="6"/>
  <c r="O31" i="6"/>
  <c r="L4" i="1"/>
  <c r="T27" i="1"/>
  <c r="Q22" i="1"/>
  <c r="T20" i="1"/>
  <c r="B19" i="5" s="1"/>
  <c r="Q10" i="1"/>
  <c r="T13" i="1"/>
  <c r="B12" i="5" s="1"/>
  <c r="V14" i="1"/>
  <c r="W18" i="1"/>
  <c r="W22" i="1"/>
  <c r="Q6" i="1"/>
  <c r="V10" i="1"/>
  <c r="W14" i="1"/>
  <c r="T4" i="1"/>
  <c r="B3" i="5" s="1"/>
  <c r="T12" i="1"/>
  <c r="B11" i="5" s="1"/>
  <c r="L15" i="1"/>
  <c r="V25" i="1"/>
  <c r="L5" i="1"/>
  <c r="Q13" i="1"/>
  <c r="Q17" i="1"/>
  <c r="T21" i="1"/>
  <c r="B20" i="5" s="1"/>
  <c r="W25" i="1"/>
  <c r="L3" i="1"/>
  <c r="Q9" i="1"/>
  <c r="V13" i="1"/>
  <c r="V17" i="1"/>
  <c r="L22" i="1"/>
  <c r="L24" i="1"/>
  <c r="T26" i="1"/>
  <c r="B25" i="5" s="1"/>
  <c r="L14" i="1"/>
  <c r="L20" i="1"/>
  <c r="W7" i="1"/>
  <c r="L16" i="1"/>
  <c r="L8" i="1"/>
  <c r="W3" i="1"/>
  <c r="V12" i="1"/>
  <c r="L2" i="1"/>
  <c r="W21" i="1"/>
  <c r="T8" i="1"/>
  <c r="B7" i="5" s="1"/>
  <c r="I13" i="1"/>
  <c r="J13" i="1" s="1"/>
  <c r="K13" i="1" s="1"/>
  <c r="L13" i="1" s="1"/>
  <c r="W5" i="1"/>
  <c r="V8" i="1"/>
  <c r="T10" i="1"/>
  <c r="B9" i="5" s="1"/>
  <c r="T17" i="1"/>
  <c r="B16" i="5" s="1"/>
  <c r="T19" i="1"/>
  <c r="B18" i="5" s="1"/>
  <c r="V20" i="1"/>
  <c r="Q23" i="1"/>
  <c r="Q26" i="1"/>
  <c r="W6" i="1"/>
  <c r="T9" i="1"/>
  <c r="B8" i="5" s="1"/>
  <c r="W13" i="1"/>
  <c r="W17" i="1"/>
  <c r="I19" i="1"/>
  <c r="J19" i="1" s="1"/>
  <c r="K19" i="1" s="1"/>
  <c r="L19" i="1" s="1"/>
  <c r="L7" i="1"/>
  <c r="T16" i="1"/>
  <c r="B15" i="5" s="1"/>
  <c r="W27" i="1"/>
  <c r="Q5" i="1"/>
  <c r="V16" i="1"/>
  <c r="L25" i="1"/>
  <c r="Q7" i="1"/>
  <c r="L9" i="1"/>
  <c r="Q11" i="1"/>
  <c r="T15" i="1"/>
  <c r="B14" i="5" s="1"/>
  <c r="Q18" i="1"/>
  <c r="W19" i="1"/>
  <c r="L21" i="1"/>
  <c r="V26" i="1"/>
  <c r="W10" i="1"/>
  <c r="V21" i="1"/>
  <c r="V9" i="1"/>
  <c r="V24" i="1"/>
  <c r="W9" i="1"/>
  <c r="T7" i="1"/>
  <c r="B6" i="5" s="1"/>
  <c r="L12" i="1"/>
  <c r="Q14" i="1"/>
  <c r="W15" i="1"/>
  <c r="V18" i="1"/>
  <c r="T25" i="1"/>
  <c r="B24" i="5" s="1"/>
  <c r="M3" i="2"/>
  <c r="M20" i="2"/>
  <c r="M5" i="2"/>
  <c r="M12" i="2"/>
  <c r="M14" i="2"/>
  <c r="M27" i="2"/>
  <c r="M2" i="2"/>
  <c r="M4" i="2"/>
  <c r="M6" i="2"/>
  <c r="M17" i="2"/>
  <c r="M19" i="2"/>
  <c r="M23" i="2"/>
  <c r="N21" i="2"/>
  <c r="N13" i="2"/>
  <c r="N5" i="2"/>
  <c r="N26" i="2"/>
  <c r="N24" i="2"/>
  <c r="N8" i="2"/>
  <c r="N4" i="2"/>
  <c r="N22" i="2"/>
  <c r="N18" i="2"/>
  <c r="N9" i="2"/>
  <c r="N2" i="2"/>
  <c r="N19" i="2"/>
  <c r="N27" i="2"/>
  <c r="N3" i="2"/>
  <c r="N23" i="2"/>
  <c r="N15" i="2"/>
  <c r="N17" i="2"/>
  <c r="N16" i="2"/>
  <c r="N6" i="2"/>
  <c r="N20" i="2"/>
  <c r="N25" i="2"/>
  <c r="N11" i="2"/>
  <c r="N10" i="2"/>
  <c r="N7" i="2"/>
  <c r="N12" i="2"/>
  <c r="N14" i="2"/>
  <c r="L11" i="2"/>
  <c r="M11" i="2" s="1"/>
  <c r="M13" i="2"/>
  <c r="M15" i="2"/>
  <c r="I7" i="2"/>
  <c r="J7" i="2" s="1"/>
  <c r="K7" i="2" s="1"/>
  <c r="L7" i="2" s="1"/>
  <c r="M7" i="2" s="1"/>
  <c r="I8" i="2"/>
  <c r="J8" i="2" s="1"/>
  <c r="K8" i="2" s="1"/>
  <c r="L8" i="2" s="1"/>
  <c r="M8" i="2" s="1"/>
  <c r="Q18" i="2"/>
  <c r="I18" i="2"/>
  <c r="J18" i="2" s="1"/>
  <c r="K18" i="2" s="1"/>
  <c r="L18" i="2" s="1"/>
  <c r="M18" i="2" s="1"/>
  <c r="Q19" i="2"/>
  <c r="O20" i="2"/>
  <c r="O12" i="2"/>
  <c r="O4" i="2"/>
  <c r="O27" i="2"/>
  <c r="O22" i="2"/>
  <c r="O18" i="2"/>
  <c r="O13" i="2"/>
  <c r="O9" i="2"/>
  <c r="O2" i="2"/>
  <c r="O19" i="2"/>
  <c r="O14" i="2"/>
  <c r="O10" i="2"/>
  <c r="O5" i="2"/>
  <c r="O7" i="2"/>
  <c r="O8" i="2"/>
  <c r="O11" i="2"/>
  <c r="L16" i="2"/>
  <c r="M16" i="2" s="1"/>
  <c r="I24" i="2"/>
  <c r="J24" i="2" s="1"/>
  <c r="K24" i="2" s="1"/>
  <c r="L24" i="2" s="1"/>
  <c r="M24" i="2" s="1"/>
  <c r="O25" i="2"/>
  <c r="Q9" i="2"/>
  <c r="O24" i="2"/>
  <c r="O6" i="2"/>
  <c r="O16" i="2"/>
  <c r="O17" i="2"/>
  <c r="I22" i="2"/>
  <c r="J22" i="2" s="1"/>
  <c r="K22" i="2" s="1"/>
  <c r="L22" i="2" s="1"/>
  <c r="M22" i="2" s="1"/>
  <c r="O15" i="2"/>
  <c r="O23" i="2"/>
  <c r="Q6" i="2"/>
  <c r="Q15" i="2"/>
  <c r="Q20" i="2"/>
  <c r="Q10" i="2"/>
  <c r="I10" i="2"/>
  <c r="J10" i="2" s="1"/>
  <c r="K10" i="2" s="1"/>
  <c r="L10" i="2" s="1"/>
  <c r="M10" i="2" s="1"/>
  <c r="Q25" i="2"/>
  <c r="I25" i="2"/>
  <c r="J25" i="2" s="1"/>
  <c r="K25" i="2" s="1"/>
  <c r="L25" i="2" s="1"/>
  <c r="M25" i="2" s="1"/>
  <c r="I26" i="2"/>
  <c r="J26" i="2" s="1"/>
  <c r="K26" i="2" s="1"/>
  <c r="L26" i="2" s="1"/>
  <c r="M26" i="2" s="1"/>
  <c r="I17" i="1"/>
  <c r="J17" i="1" s="1"/>
  <c r="K17" i="1" s="1"/>
  <c r="L17" i="1" s="1"/>
  <c r="T24" i="1"/>
  <c r="B23" i="5" s="1"/>
  <c r="T23" i="1"/>
  <c r="B22" i="5" s="1"/>
  <c r="I23" i="1"/>
  <c r="J23" i="1" s="1"/>
  <c r="K23" i="1" s="1"/>
  <c r="L23" i="1" s="1"/>
  <c r="I11" i="1"/>
  <c r="T11" i="1"/>
  <c r="B10" i="5" s="1"/>
  <c r="T3" i="1"/>
  <c r="B2" i="5" s="1"/>
  <c r="I26" i="1"/>
  <c r="J26" i="1" s="1"/>
  <c r="K26" i="1" s="1"/>
  <c r="L26" i="1" s="1"/>
  <c r="T6" i="1"/>
  <c r="B5" i="5" s="1"/>
  <c r="I6" i="1"/>
  <c r="J6" i="1" s="1"/>
  <c r="K6" i="1" s="1"/>
  <c r="L6" i="1" s="1"/>
  <c r="I10" i="1"/>
  <c r="J10" i="1" s="1"/>
  <c r="K10" i="1" s="1"/>
  <c r="L10" i="1" s="1"/>
  <c r="T18" i="1"/>
  <c r="B17" i="5" s="1"/>
  <c r="I27" i="1"/>
  <c r="J27" i="1" s="1"/>
  <c r="K27" i="1" s="1"/>
  <c r="L27" i="1" s="1"/>
  <c r="I18" i="1"/>
  <c r="J18" i="1" s="1"/>
  <c r="K18" i="1" s="1"/>
  <c r="L18" i="1" s="1"/>
  <c r="T5" i="1"/>
  <c r="B4" i="5" s="1"/>
  <c r="Q24" i="1"/>
  <c r="Q20" i="1"/>
  <c r="Q16" i="1"/>
  <c r="Q12" i="1"/>
  <c r="Q8" i="1"/>
  <c r="Q4" i="1"/>
  <c r="Q25" i="1"/>
  <c r="Q21" i="1"/>
  <c r="V27" i="1"/>
  <c r="W24" i="1"/>
  <c r="V23" i="1"/>
  <c r="W20" i="1"/>
  <c r="V19" i="1"/>
  <c r="W16" i="1"/>
  <c r="V15" i="1"/>
  <c r="W12" i="1"/>
  <c r="V11" i="1"/>
  <c r="W8" i="1"/>
  <c r="V7" i="1"/>
  <c r="W4" i="1"/>
  <c r="V3" i="1"/>
  <c r="Q2" i="1"/>
  <c r="Q3" i="1"/>
  <c r="V4" i="1"/>
  <c r="V5" i="1"/>
  <c r="V6" i="1"/>
  <c r="W11" i="1"/>
  <c r="T14" i="1"/>
  <c r="B13" i="5" s="1"/>
  <c r="Q15" i="1"/>
  <c r="Q19" i="1"/>
  <c r="T22" i="1"/>
  <c r="B21" i="5" s="1"/>
  <c r="V22" i="1"/>
  <c r="W23" i="1"/>
  <c r="Q27" i="1"/>
  <c r="S34" i="6" l="1" a="1"/>
  <c r="S34" i="6" s="1"/>
  <c r="S35" i="6"/>
  <c r="N25" i="6"/>
  <c r="N17" i="6"/>
  <c r="L11" i="6"/>
  <c r="M26" i="6" s="1"/>
  <c r="N9" i="6"/>
  <c r="N31" i="6"/>
  <c r="N24" i="6"/>
  <c r="N16" i="6"/>
  <c r="N8" i="6"/>
  <c r="N2" i="6"/>
  <c r="R2" i="6" s="1"/>
  <c r="N27" i="6"/>
  <c r="N26" i="6"/>
  <c r="N13" i="6"/>
  <c r="N6" i="6"/>
  <c r="N4" i="6"/>
  <c r="N23" i="6"/>
  <c r="N19" i="6"/>
  <c r="N10" i="6"/>
  <c r="N3" i="6"/>
  <c r="N20" i="6"/>
  <c r="N11" i="6"/>
  <c r="N15" i="6"/>
  <c r="N5" i="6"/>
  <c r="N21" i="6"/>
  <c r="N7" i="6"/>
  <c r="N18" i="6"/>
  <c r="N22" i="6"/>
  <c r="N14" i="6"/>
  <c r="N12" i="6"/>
  <c r="Q33" i="6"/>
  <c r="H34" i="6"/>
  <c r="H35" i="6"/>
  <c r="B26" i="4"/>
  <c r="B26" i="5"/>
  <c r="B26" i="3"/>
  <c r="B22" i="4"/>
  <c r="B22" i="3"/>
  <c r="B6" i="4"/>
  <c r="B6" i="3"/>
  <c r="B5" i="4"/>
  <c r="B5" i="3"/>
  <c r="B14" i="4"/>
  <c r="B14" i="3"/>
  <c r="B15" i="3"/>
  <c r="B15" i="4"/>
  <c r="B7" i="3"/>
  <c r="B7" i="4"/>
  <c r="B11" i="4"/>
  <c r="B11" i="3"/>
  <c r="B4" i="3"/>
  <c r="B4" i="4"/>
  <c r="B2" i="4"/>
  <c r="B2" i="3"/>
  <c r="B24" i="4"/>
  <c r="B24" i="3"/>
  <c r="B3" i="4"/>
  <c r="B3" i="3"/>
  <c r="B21" i="4"/>
  <c r="B21" i="3"/>
  <c r="B10" i="4"/>
  <c r="B10" i="3"/>
  <c r="B18" i="4"/>
  <c r="B18" i="3"/>
  <c r="B25" i="4"/>
  <c r="B25" i="3"/>
  <c r="B20" i="3"/>
  <c r="B20" i="4"/>
  <c r="B19" i="4"/>
  <c r="B19" i="3"/>
  <c r="B16" i="4"/>
  <c r="B16" i="3"/>
  <c r="B13" i="4"/>
  <c r="B13" i="3"/>
  <c r="B8" i="4"/>
  <c r="B8" i="3"/>
  <c r="B23" i="3"/>
  <c r="B23" i="4"/>
  <c r="B12" i="3"/>
  <c r="B12" i="4"/>
  <c r="B17" i="4"/>
  <c r="B17" i="3"/>
  <c r="B9" i="4"/>
  <c r="B9" i="3"/>
  <c r="W14" i="2"/>
  <c r="P14" i="2"/>
  <c r="P16" i="2"/>
  <c r="W16" i="2"/>
  <c r="W9" i="2"/>
  <c r="P9" i="2"/>
  <c r="R9" i="2" s="1"/>
  <c r="W13" i="2"/>
  <c r="P13" i="2"/>
  <c r="R13" i="2" s="1"/>
  <c r="W12" i="2"/>
  <c r="P12" i="2"/>
  <c r="W17" i="2"/>
  <c r="P17" i="2"/>
  <c r="R17" i="2" s="1"/>
  <c r="P18" i="2"/>
  <c r="R18" i="2" s="1"/>
  <c r="W18" i="2"/>
  <c r="W21" i="2"/>
  <c r="P21" i="2"/>
  <c r="R21" i="2" s="1"/>
  <c r="W7" i="2"/>
  <c r="P7" i="2"/>
  <c r="W15" i="2"/>
  <c r="P15" i="2"/>
  <c r="R15" i="2" s="1"/>
  <c r="W22" i="2"/>
  <c r="P22" i="2"/>
  <c r="P10" i="2"/>
  <c r="R10" i="2" s="1"/>
  <c r="W10" i="2"/>
  <c r="W23" i="2"/>
  <c r="P23" i="2"/>
  <c r="W4" i="2"/>
  <c r="P4" i="2"/>
  <c r="P11" i="2"/>
  <c r="W11" i="2"/>
  <c r="P3" i="2"/>
  <c r="R3" i="2" s="1"/>
  <c r="W3" i="2"/>
  <c r="W8" i="2"/>
  <c r="P8" i="2"/>
  <c r="R8" i="2" s="1"/>
  <c r="P25" i="2"/>
  <c r="W25" i="2"/>
  <c r="P27" i="2"/>
  <c r="W27" i="2"/>
  <c r="W24" i="2"/>
  <c r="P24" i="2"/>
  <c r="R24" i="2" s="1"/>
  <c r="W20" i="2"/>
  <c r="P20" i="2"/>
  <c r="P19" i="2"/>
  <c r="W19" i="2"/>
  <c r="P26" i="2"/>
  <c r="R26" i="2" s="1"/>
  <c r="W26" i="2"/>
  <c r="W6" i="2"/>
  <c r="P6" i="2"/>
  <c r="R6" i="2" s="1"/>
  <c r="P2" i="2"/>
  <c r="P5" i="2"/>
  <c r="W5" i="2"/>
  <c r="M21" i="2"/>
  <c r="M9" i="2"/>
  <c r="J11" i="1"/>
  <c r="M19" i="6" l="1"/>
  <c r="M27" i="6"/>
  <c r="M16" i="6"/>
  <c r="M10" i="6"/>
  <c r="M4" i="6"/>
  <c r="M21" i="6"/>
  <c r="X7" i="6"/>
  <c r="Y7" i="6"/>
  <c r="R7" i="6"/>
  <c r="Y19" i="6"/>
  <c r="X19" i="6"/>
  <c r="R19" i="6"/>
  <c r="Y8" i="6"/>
  <c r="R8" i="6"/>
  <c r="X8" i="6"/>
  <c r="R21" i="6"/>
  <c r="S21" i="6" s="1"/>
  <c r="U21" i="6" s="1"/>
  <c r="Y21" i="6"/>
  <c r="X21" i="6"/>
  <c r="X23" i="6"/>
  <c r="Y23" i="6"/>
  <c r="R23" i="6"/>
  <c r="X16" i="6"/>
  <c r="Y16" i="6"/>
  <c r="R16" i="6"/>
  <c r="S16" i="6" s="1"/>
  <c r="U16" i="6" s="1"/>
  <c r="R5" i="6"/>
  <c r="Y5" i="6"/>
  <c r="X5" i="6"/>
  <c r="R4" i="6"/>
  <c r="S4" i="6" s="1"/>
  <c r="U4" i="6" s="1"/>
  <c r="X4" i="6"/>
  <c r="Y4" i="6"/>
  <c r="AA4" i="6" s="1"/>
  <c r="R24" i="6"/>
  <c r="S24" i="6" s="1"/>
  <c r="U24" i="6" s="1"/>
  <c r="X24" i="6"/>
  <c r="Y24" i="6"/>
  <c r="X15" i="6"/>
  <c r="R15" i="6"/>
  <c r="Y15" i="6"/>
  <c r="Y6" i="6"/>
  <c r="X6" i="6"/>
  <c r="R6" i="6"/>
  <c r="R31" i="6"/>
  <c r="S31" i="6" s="1"/>
  <c r="U31" i="6" s="1"/>
  <c r="X31" i="6"/>
  <c r="Y31" i="6"/>
  <c r="R12" i="6"/>
  <c r="Y12" i="6"/>
  <c r="X12" i="6"/>
  <c r="R11" i="6"/>
  <c r="Y11" i="6"/>
  <c r="X11" i="6"/>
  <c r="Z11" i="6" s="1"/>
  <c r="R13" i="6"/>
  <c r="Y13" i="6"/>
  <c r="X13" i="6"/>
  <c r="R9" i="6"/>
  <c r="Y9" i="6"/>
  <c r="X9" i="6"/>
  <c r="Z9" i="6" s="1"/>
  <c r="Q35" i="6"/>
  <c r="Q34" i="6"/>
  <c r="Y14" i="6"/>
  <c r="X14" i="6"/>
  <c r="R14" i="6"/>
  <c r="R20" i="6"/>
  <c r="S20" i="6" s="1"/>
  <c r="U20" i="6" s="1"/>
  <c r="Y20" i="6"/>
  <c r="X20" i="6"/>
  <c r="Z20" i="6" s="1"/>
  <c r="Y26" i="6"/>
  <c r="X26" i="6"/>
  <c r="R26" i="6"/>
  <c r="M11" i="6"/>
  <c r="M8" i="6"/>
  <c r="M9" i="6"/>
  <c r="M2" i="6"/>
  <c r="M20" i="6"/>
  <c r="M14" i="6"/>
  <c r="M6" i="6"/>
  <c r="M5" i="6"/>
  <c r="M13" i="6"/>
  <c r="M23" i="6"/>
  <c r="M24" i="6"/>
  <c r="M31" i="6"/>
  <c r="M18" i="6"/>
  <c r="M12" i="6"/>
  <c r="M15" i="6"/>
  <c r="M25" i="6"/>
  <c r="M22" i="6"/>
  <c r="M7" i="6"/>
  <c r="M3" i="6"/>
  <c r="M17" i="6"/>
  <c r="Y22" i="6"/>
  <c r="X22" i="6"/>
  <c r="R22" i="6"/>
  <c r="S22" i="6" s="1"/>
  <c r="U22" i="6" s="1"/>
  <c r="Y3" i="6"/>
  <c r="X3" i="6"/>
  <c r="R3" i="6"/>
  <c r="S3" i="6" s="1"/>
  <c r="U3" i="6" s="1"/>
  <c r="R27" i="6"/>
  <c r="Y27" i="6"/>
  <c r="X27" i="6"/>
  <c r="X17" i="6"/>
  <c r="R17" i="6"/>
  <c r="S17" i="6" s="1"/>
  <c r="U17" i="6" s="1"/>
  <c r="Y17" i="6"/>
  <c r="R18" i="6"/>
  <c r="X18" i="6"/>
  <c r="Y18" i="6"/>
  <c r="Y10" i="6"/>
  <c r="X10" i="6"/>
  <c r="R10" i="6"/>
  <c r="S10" i="6" s="1"/>
  <c r="U10" i="6" s="1"/>
  <c r="Y25" i="6"/>
  <c r="X25" i="6"/>
  <c r="R25" i="6"/>
  <c r="Z3" i="2"/>
  <c r="AA3" i="2"/>
  <c r="Y3" i="2"/>
  <c r="X3" i="2"/>
  <c r="AA10" i="2"/>
  <c r="Z10" i="2"/>
  <c r="Y10" i="2"/>
  <c r="X10" i="2"/>
  <c r="AA6" i="2"/>
  <c r="Z6" i="2"/>
  <c r="Y6" i="2"/>
  <c r="X6" i="2"/>
  <c r="Y24" i="2"/>
  <c r="X24" i="2"/>
  <c r="AA24" i="2"/>
  <c r="Z24" i="2"/>
  <c r="AC24" i="2" s="1"/>
  <c r="X21" i="2"/>
  <c r="Y21" i="2"/>
  <c r="AA21" i="2"/>
  <c r="Z21" i="2"/>
  <c r="AC21" i="2" s="1"/>
  <c r="X13" i="2"/>
  <c r="Z13" i="2"/>
  <c r="Y13" i="2"/>
  <c r="AA13" i="2"/>
  <c r="AA26" i="2"/>
  <c r="Z26" i="2"/>
  <c r="Y26" i="2"/>
  <c r="X26" i="2"/>
  <c r="Z27" i="2"/>
  <c r="Y27" i="2"/>
  <c r="AA27" i="2"/>
  <c r="X27" i="2"/>
  <c r="Z11" i="2"/>
  <c r="AA11" i="2"/>
  <c r="Y11" i="2"/>
  <c r="X11" i="2"/>
  <c r="R22" i="2"/>
  <c r="AA18" i="2"/>
  <c r="Z18" i="2"/>
  <c r="Y18" i="2"/>
  <c r="AB18" i="2" s="1"/>
  <c r="X18" i="2"/>
  <c r="R27" i="2"/>
  <c r="R11" i="2"/>
  <c r="Z22" i="2"/>
  <c r="Y22" i="2"/>
  <c r="X22" i="2"/>
  <c r="AA22" i="2"/>
  <c r="Z9" i="2"/>
  <c r="AC9" i="2" s="1"/>
  <c r="Y9" i="2"/>
  <c r="X9" i="2"/>
  <c r="AA9" i="2"/>
  <c r="Z19" i="2"/>
  <c r="AA19" i="2"/>
  <c r="Y19" i="2"/>
  <c r="X19" i="2"/>
  <c r="AA25" i="2"/>
  <c r="X25" i="2"/>
  <c r="Z25" i="2"/>
  <c r="Y25" i="2"/>
  <c r="R4" i="2"/>
  <c r="AA16" i="2"/>
  <c r="Z16" i="2"/>
  <c r="Y16" i="2"/>
  <c r="X16" i="2"/>
  <c r="X5" i="2"/>
  <c r="AA5" i="2"/>
  <c r="Z5" i="2"/>
  <c r="Y5" i="2"/>
  <c r="AB5" i="2" s="1"/>
  <c r="R19" i="2"/>
  <c r="R25" i="2"/>
  <c r="Y4" i="2"/>
  <c r="Z4" i="2"/>
  <c r="AC4" i="2" s="1"/>
  <c r="X4" i="2"/>
  <c r="AA4" i="2"/>
  <c r="AA15" i="2"/>
  <c r="Z15" i="2"/>
  <c r="Y15" i="2"/>
  <c r="X15" i="2"/>
  <c r="X17" i="2"/>
  <c r="AA17" i="2"/>
  <c r="Z17" i="2"/>
  <c r="Y17" i="2"/>
  <c r="R16" i="2"/>
  <c r="R5" i="2"/>
  <c r="R20" i="2"/>
  <c r="R23" i="2"/>
  <c r="R7" i="2"/>
  <c r="R12" i="2"/>
  <c r="R14" i="2"/>
  <c r="Y20" i="2"/>
  <c r="AA20" i="2"/>
  <c r="Z20" i="2"/>
  <c r="X20" i="2"/>
  <c r="X8" i="2"/>
  <c r="AA8" i="2"/>
  <c r="Z8" i="2"/>
  <c r="AC8" i="2" s="1"/>
  <c r="Y8" i="2"/>
  <c r="AA23" i="2"/>
  <c r="Z23" i="2"/>
  <c r="Y23" i="2"/>
  <c r="X23" i="2"/>
  <c r="AA7" i="2"/>
  <c r="Z7" i="2"/>
  <c r="Y7" i="2"/>
  <c r="AB7" i="2" s="1"/>
  <c r="X7" i="2"/>
  <c r="Y12" i="2"/>
  <c r="X12" i="2"/>
  <c r="AA12" i="2"/>
  <c r="Z12" i="2"/>
  <c r="AC12" i="2" s="1"/>
  <c r="AA14" i="2"/>
  <c r="Z14" i="2"/>
  <c r="Y14" i="2"/>
  <c r="AB14" i="2" s="1"/>
  <c r="X14" i="2"/>
  <c r="K11" i="1"/>
  <c r="AA25" i="6" l="1"/>
  <c r="Z26" i="6"/>
  <c r="Z24" i="6"/>
  <c r="AA7" i="6"/>
  <c r="S6" i="6"/>
  <c r="U6" i="6" s="1"/>
  <c r="Z8" i="6"/>
  <c r="AE8" i="6" s="1"/>
  <c r="Z27" i="6"/>
  <c r="AE27" i="6" s="1"/>
  <c r="S8" i="6"/>
  <c r="U8" i="6" s="1"/>
  <c r="S27" i="6"/>
  <c r="U27" i="6" s="1"/>
  <c r="AA15" i="6"/>
  <c r="S19" i="6"/>
  <c r="U19" i="6" s="1"/>
  <c r="S14" i="6"/>
  <c r="U14" i="6" s="1"/>
  <c r="Z13" i="6"/>
  <c r="AE24" i="6"/>
  <c r="AB24" i="6"/>
  <c r="AC24" i="6" s="1"/>
  <c r="Z17" i="6"/>
  <c r="Z22" i="6"/>
  <c r="AA26" i="6"/>
  <c r="AA11" i="6"/>
  <c r="AA16" i="6"/>
  <c r="Z7" i="6"/>
  <c r="Z10" i="6"/>
  <c r="AB27" i="6"/>
  <c r="AA22" i="6"/>
  <c r="S11" i="6"/>
  <c r="U11" i="6" s="1"/>
  <c r="Z6" i="6"/>
  <c r="Z16" i="6"/>
  <c r="AA10" i="6"/>
  <c r="AA27" i="6"/>
  <c r="AA20" i="6"/>
  <c r="AE20" i="6" s="1"/>
  <c r="AA9" i="6"/>
  <c r="Z12" i="6"/>
  <c r="AA6" i="6"/>
  <c r="Z4" i="6"/>
  <c r="S23" i="6"/>
  <c r="U23" i="6" s="1"/>
  <c r="AA8" i="6"/>
  <c r="AA18" i="6"/>
  <c r="S9" i="6"/>
  <c r="U9" i="6" s="1"/>
  <c r="AA12" i="6"/>
  <c r="AA23" i="6"/>
  <c r="Z18" i="6"/>
  <c r="S12" i="6"/>
  <c r="U12" i="6" s="1"/>
  <c r="S15" i="6"/>
  <c r="U15" i="6" s="1"/>
  <c r="Z5" i="6"/>
  <c r="Z23" i="6"/>
  <c r="Z19" i="6"/>
  <c r="S25" i="6"/>
  <c r="U25" i="6" s="1"/>
  <c r="S18" i="6"/>
  <c r="U18" i="6" s="1"/>
  <c r="Z3" i="6"/>
  <c r="Z14" i="6"/>
  <c r="AA13" i="6"/>
  <c r="AA31" i="6"/>
  <c r="Z15" i="6"/>
  <c r="AA5" i="6"/>
  <c r="Z21" i="6"/>
  <c r="AA19" i="6"/>
  <c r="Z25" i="6"/>
  <c r="AA17" i="6"/>
  <c r="AA3" i="6"/>
  <c r="S26" i="6"/>
  <c r="U26" i="6" s="1"/>
  <c r="AA14" i="6"/>
  <c r="S13" i="6"/>
  <c r="U13" i="6" s="1"/>
  <c r="Z31" i="6"/>
  <c r="AA24" i="6"/>
  <c r="S5" i="6"/>
  <c r="U5" i="6" s="1"/>
  <c r="AA21" i="6"/>
  <c r="S7" i="6"/>
  <c r="U7" i="6" s="1"/>
  <c r="AF9" i="2"/>
  <c r="AH9" i="2" s="1"/>
  <c r="AD9" i="2"/>
  <c r="AC14" i="2"/>
  <c r="AC7" i="2"/>
  <c r="AB4" i="2"/>
  <c r="AE4" i="2" s="1"/>
  <c r="AG4" i="2" s="1"/>
  <c r="AB16" i="2"/>
  <c r="AE16" i="2" s="1"/>
  <c r="AG16" i="2" s="1"/>
  <c r="AC18" i="2"/>
  <c r="AB13" i="2"/>
  <c r="AB10" i="2"/>
  <c r="AC16" i="2"/>
  <c r="AB19" i="2"/>
  <c r="AE19" i="2" s="1"/>
  <c r="AG19" i="2" s="1"/>
  <c r="AB27" i="2"/>
  <c r="AE27" i="2" s="1"/>
  <c r="AG27" i="2" s="1"/>
  <c r="AC13" i="2"/>
  <c r="AC10" i="2"/>
  <c r="AF12" i="2"/>
  <c r="AH12" i="2" s="1"/>
  <c r="AB15" i="2"/>
  <c r="AB22" i="2"/>
  <c r="AC27" i="2"/>
  <c r="AB24" i="2"/>
  <c r="AE24" i="2" s="1"/>
  <c r="AG24" i="2" s="1"/>
  <c r="AB23" i="2"/>
  <c r="AC20" i="2"/>
  <c r="AC15" i="2"/>
  <c r="AC19" i="2"/>
  <c r="AC22" i="2"/>
  <c r="AF21" i="2"/>
  <c r="AH21" i="2" s="1"/>
  <c r="AD21" i="2"/>
  <c r="AC23" i="2"/>
  <c r="AC5" i="2"/>
  <c r="AB25" i="2"/>
  <c r="AB11" i="2"/>
  <c r="AB26" i="2"/>
  <c r="AE26" i="2" s="1"/>
  <c r="AG26" i="2" s="1"/>
  <c r="AB6" i="2"/>
  <c r="AB3" i="2"/>
  <c r="AB12" i="2"/>
  <c r="AE12" i="2" s="1"/>
  <c r="AG12" i="2" s="1"/>
  <c r="AB20" i="2"/>
  <c r="AB17" i="2"/>
  <c r="AE17" i="2" s="1"/>
  <c r="AG17" i="2" s="1"/>
  <c r="AC25" i="2"/>
  <c r="AC26" i="2"/>
  <c r="AB21" i="2"/>
  <c r="AE21" i="2" s="1"/>
  <c r="AG21" i="2" s="1"/>
  <c r="AC6" i="2"/>
  <c r="AB8" i="2"/>
  <c r="AE8" i="2" s="1"/>
  <c r="AG8" i="2" s="1"/>
  <c r="AC17" i="2"/>
  <c r="AB9" i="2"/>
  <c r="AE9" i="2" s="1"/>
  <c r="AG9" i="2" s="1"/>
  <c r="AC11" i="2"/>
  <c r="AC3" i="2"/>
  <c r="N27" i="1"/>
  <c r="N23" i="1"/>
  <c r="N19" i="1"/>
  <c r="N15" i="1"/>
  <c r="N11" i="1"/>
  <c r="N7" i="1"/>
  <c r="N3" i="1"/>
  <c r="N16" i="1"/>
  <c r="N26" i="1"/>
  <c r="N20" i="1"/>
  <c r="N18" i="1"/>
  <c r="L11" i="1"/>
  <c r="N10" i="1"/>
  <c r="N9" i="1"/>
  <c r="N6" i="1"/>
  <c r="N2" i="1"/>
  <c r="R2" i="1" s="1"/>
  <c r="N21" i="1"/>
  <c r="N4" i="1"/>
  <c r="N12" i="1"/>
  <c r="N25" i="1"/>
  <c r="N17" i="1"/>
  <c r="N8" i="1"/>
  <c r="N5" i="1"/>
  <c r="N22" i="1"/>
  <c r="N13" i="1"/>
  <c r="N24" i="1"/>
  <c r="N14" i="1"/>
  <c r="AC27" i="6" l="1"/>
  <c r="AB19" i="6"/>
  <c r="AD19" i="6" s="1"/>
  <c r="AC19" i="6"/>
  <c r="AE19" i="6"/>
  <c r="AB18" i="6"/>
  <c r="AC18" i="6" s="1"/>
  <c r="AE18" i="6"/>
  <c r="AE4" i="6"/>
  <c r="AB4" i="6"/>
  <c r="AD4" i="6" s="1"/>
  <c r="AE15" i="6"/>
  <c r="AB15" i="6"/>
  <c r="AD15" i="6" s="1"/>
  <c r="AE23" i="6"/>
  <c r="AB23" i="6"/>
  <c r="AC23" i="6"/>
  <c r="AD23" i="6"/>
  <c r="AF23" i="6" s="1"/>
  <c r="AE6" i="6"/>
  <c r="AB6" i="6"/>
  <c r="AD6" i="6" s="1"/>
  <c r="AE5" i="6"/>
  <c r="AB5" i="6"/>
  <c r="AD5" i="6" s="1"/>
  <c r="AB12" i="6"/>
  <c r="AD12" i="6" s="1"/>
  <c r="AE12" i="6"/>
  <c r="AE9" i="6"/>
  <c r="AD21" i="6"/>
  <c r="AB14" i="6"/>
  <c r="AD14" i="6" s="1"/>
  <c r="AE14" i="6"/>
  <c r="AC14" i="6"/>
  <c r="AB9" i="6"/>
  <c r="AC9" i="6" s="1"/>
  <c r="AE11" i="6"/>
  <c r="AB25" i="6"/>
  <c r="AD25" i="6" s="1"/>
  <c r="AE25" i="6"/>
  <c r="AB3" i="6"/>
  <c r="AD3" i="6" s="1"/>
  <c r="AE3" i="6"/>
  <c r="AB13" i="6"/>
  <c r="AC13" i="6" s="1"/>
  <c r="AD27" i="6"/>
  <c r="AF27" i="6" s="1"/>
  <c r="AB10" i="6"/>
  <c r="AC10" i="6" s="1"/>
  <c r="AE10" i="6"/>
  <c r="AE22" i="6"/>
  <c r="AB22" i="6"/>
  <c r="AD22" i="6" s="1"/>
  <c r="AB11" i="6"/>
  <c r="AD11" i="6" s="1"/>
  <c r="AD24" i="6"/>
  <c r="AF24" i="6" s="1"/>
  <c r="AE13" i="6"/>
  <c r="AB20" i="6"/>
  <c r="AC20" i="6" s="1"/>
  <c r="AE7" i="6"/>
  <c r="AB7" i="6"/>
  <c r="AC7" i="6" s="1"/>
  <c r="AE17" i="6"/>
  <c r="AB17" i="6"/>
  <c r="AD17" i="6" s="1"/>
  <c r="AE26" i="6"/>
  <c r="AE31" i="6"/>
  <c r="AB31" i="6"/>
  <c r="AD31" i="6" s="1"/>
  <c r="AB21" i="6"/>
  <c r="AC21" i="6" s="1"/>
  <c r="AE21" i="6"/>
  <c r="AE16" i="6"/>
  <c r="AB16" i="6"/>
  <c r="AD16" i="6" s="1"/>
  <c r="AB8" i="6"/>
  <c r="AC8" i="6" s="1"/>
  <c r="AB26" i="6"/>
  <c r="AC26" i="6" s="1"/>
  <c r="AF3" i="2"/>
  <c r="AH3" i="2" s="1"/>
  <c r="AD3" i="2"/>
  <c r="AF25" i="2"/>
  <c r="AH25" i="2" s="1"/>
  <c r="AD25" i="2"/>
  <c r="AE25" i="2"/>
  <c r="AG25" i="2" s="1"/>
  <c r="AD15" i="2"/>
  <c r="AF15" i="2"/>
  <c r="AH15" i="2" s="1"/>
  <c r="AF18" i="2"/>
  <c r="AH18" i="2" s="1"/>
  <c r="AD18" i="2"/>
  <c r="AD11" i="2"/>
  <c r="AF11" i="2"/>
  <c r="AH11" i="2" s="1"/>
  <c r="AF5" i="2"/>
  <c r="AH5" i="2" s="1"/>
  <c r="AD5" i="2"/>
  <c r="AD20" i="2"/>
  <c r="AF20" i="2"/>
  <c r="AH20" i="2" s="1"/>
  <c r="AF10" i="2"/>
  <c r="AH10" i="2" s="1"/>
  <c r="AD10" i="2"/>
  <c r="AE20" i="2"/>
  <c r="AG20" i="2" s="1"/>
  <c r="AD23" i="2"/>
  <c r="AF23" i="2"/>
  <c r="AH23" i="2" s="1"/>
  <c r="AE23" i="2"/>
  <c r="AG23" i="2" s="1"/>
  <c r="AF13" i="2"/>
  <c r="AH13" i="2" s="1"/>
  <c r="AD13" i="2"/>
  <c r="AD4" i="2"/>
  <c r="AF17" i="2"/>
  <c r="AH17" i="2" s="1"/>
  <c r="AD17" i="2"/>
  <c r="AD7" i="2"/>
  <c r="AF7" i="2"/>
  <c r="AH7" i="2" s="1"/>
  <c r="AF4" i="2"/>
  <c r="AH4" i="2" s="1"/>
  <c r="AE3" i="2"/>
  <c r="AG3" i="2" s="1"/>
  <c r="AF27" i="2"/>
  <c r="AH27" i="2" s="1"/>
  <c r="AD27" i="2"/>
  <c r="AD14" i="2"/>
  <c r="AF14" i="2"/>
  <c r="AH14" i="2" s="1"/>
  <c r="AD8" i="2"/>
  <c r="AD6" i="2"/>
  <c r="AF6" i="2"/>
  <c r="AH6" i="2" s="1"/>
  <c r="AE6" i="2"/>
  <c r="AG6" i="2" s="1"/>
  <c r="AD22" i="2"/>
  <c r="AF22" i="2"/>
  <c r="AH22" i="2" s="1"/>
  <c r="AE22" i="2"/>
  <c r="AG22" i="2" s="1"/>
  <c r="AD16" i="2"/>
  <c r="AF16" i="2"/>
  <c r="AH16" i="2" s="1"/>
  <c r="AD24" i="2"/>
  <c r="AF8" i="2"/>
  <c r="AH8" i="2" s="1"/>
  <c r="AF19" i="2"/>
  <c r="AH19" i="2" s="1"/>
  <c r="AD19" i="2"/>
  <c r="AE15" i="2"/>
  <c r="AG15" i="2" s="1"/>
  <c r="AE10" i="2"/>
  <c r="AG10" i="2" s="1"/>
  <c r="AF24" i="2"/>
  <c r="AH24" i="2" s="1"/>
  <c r="AE7" i="2"/>
  <c r="AG7" i="2" s="1"/>
  <c r="AD26" i="2"/>
  <c r="AF26" i="2"/>
  <c r="AH26" i="2" s="1"/>
  <c r="AE11" i="2"/>
  <c r="AG11" i="2" s="1"/>
  <c r="AE5" i="2"/>
  <c r="AG5" i="2" s="1"/>
  <c r="AD12" i="2"/>
  <c r="AE13" i="2"/>
  <c r="AG13" i="2" s="1"/>
  <c r="AE18" i="2"/>
  <c r="AG18" i="2" s="1"/>
  <c r="AE14" i="2"/>
  <c r="AG14" i="2" s="1"/>
  <c r="R22" i="1"/>
  <c r="Y22" i="1"/>
  <c r="X22" i="1"/>
  <c r="X16" i="1"/>
  <c r="Y16" i="1"/>
  <c r="R16" i="1"/>
  <c r="Y5" i="1"/>
  <c r="R5" i="1"/>
  <c r="X5" i="1"/>
  <c r="Y6" i="1"/>
  <c r="X6" i="1"/>
  <c r="R6" i="1"/>
  <c r="Y3" i="1"/>
  <c r="X3" i="1"/>
  <c r="R3" i="1"/>
  <c r="S3" i="1" s="1"/>
  <c r="U3" i="1" s="1"/>
  <c r="E2" i="5" s="1"/>
  <c r="X8" i="1"/>
  <c r="Y8" i="1"/>
  <c r="R8" i="1"/>
  <c r="Y9" i="1"/>
  <c r="R9" i="1"/>
  <c r="X9" i="1"/>
  <c r="R7" i="1"/>
  <c r="Y7" i="1"/>
  <c r="X7" i="1"/>
  <c r="X17" i="1"/>
  <c r="Y17" i="1"/>
  <c r="R17" i="1"/>
  <c r="X10" i="1"/>
  <c r="R10" i="1"/>
  <c r="S10" i="1" s="1"/>
  <c r="U10" i="1" s="1"/>
  <c r="E9" i="5" s="1"/>
  <c r="Y10" i="1"/>
  <c r="Y11" i="1"/>
  <c r="X11" i="1"/>
  <c r="R11" i="1"/>
  <c r="X25" i="1"/>
  <c r="Y25" i="1"/>
  <c r="R25" i="1"/>
  <c r="M11" i="1"/>
  <c r="M9" i="1"/>
  <c r="M25" i="1"/>
  <c r="M4" i="1"/>
  <c r="M8" i="1"/>
  <c r="M12" i="1"/>
  <c r="M16" i="1"/>
  <c r="M20" i="1"/>
  <c r="M15" i="1"/>
  <c r="M3" i="1"/>
  <c r="M21" i="1"/>
  <c r="M7" i="1"/>
  <c r="M2" i="1"/>
  <c r="M13" i="1"/>
  <c r="M5" i="1"/>
  <c r="M14" i="1"/>
  <c r="M19" i="1"/>
  <c r="M22" i="1"/>
  <c r="M24" i="1"/>
  <c r="M18" i="1"/>
  <c r="M26" i="1"/>
  <c r="M27" i="1"/>
  <c r="M23" i="1"/>
  <c r="M10" i="1"/>
  <c r="M6" i="1"/>
  <c r="M17" i="1"/>
  <c r="Y15" i="1"/>
  <c r="X15" i="1"/>
  <c r="R15" i="1"/>
  <c r="R14" i="1"/>
  <c r="Y14" i="1"/>
  <c r="X14" i="1"/>
  <c r="X12" i="1"/>
  <c r="R12" i="1"/>
  <c r="Y12" i="1"/>
  <c r="Y18" i="1"/>
  <c r="X18" i="1"/>
  <c r="R18" i="1"/>
  <c r="R19" i="1"/>
  <c r="Y19" i="1"/>
  <c r="X19" i="1"/>
  <c r="X24" i="1"/>
  <c r="R24" i="1"/>
  <c r="Y24" i="1"/>
  <c r="X4" i="1"/>
  <c r="Y4" i="1"/>
  <c r="R4" i="1"/>
  <c r="X20" i="1"/>
  <c r="Y20" i="1"/>
  <c r="R20" i="1"/>
  <c r="R23" i="1"/>
  <c r="Y23" i="1"/>
  <c r="X23" i="1"/>
  <c r="Y13" i="1"/>
  <c r="R13" i="1"/>
  <c r="X13" i="1"/>
  <c r="X21" i="1"/>
  <c r="Y21" i="1"/>
  <c r="R21" i="1"/>
  <c r="Y26" i="1"/>
  <c r="X26" i="1"/>
  <c r="R26" i="1"/>
  <c r="Y27" i="1"/>
  <c r="X27" i="1"/>
  <c r="R27" i="1"/>
  <c r="AD7" i="6" l="1"/>
  <c r="AD10" i="6"/>
  <c r="AD18" i="6"/>
  <c r="AF18" i="6" s="1"/>
  <c r="AF19" i="6"/>
  <c r="AF14" i="6"/>
  <c r="AC3" i="6"/>
  <c r="AF3" i="6" s="1"/>
  <c r="S19" i="1"/>
  <c r="U19" i="1" s="1"/>
  <c r="E18" i="5" s="1"/>
  <c r="AF22" i="6"/>
  <c r="AF21" i="6"/>
  <c r="AC11" i="6"/>
  <c r="AF11" i="6" s="1"/>
  <c r="AC31" i="6"/>
  <c r="AF31" i="6" s="1"/>
  <c r="AD26" i="6"/>
  <c r="AF26" i="6" s="1"/>
  <c r="AC6" i="6"/>
  <c r="AF6" i="6" s="1"/>
  <c r="AC15" i="6"/>
  <c r="AF15" i="6" s="1"/>
  <c r="AF7" i="6"/>
  <c r="AC22" i="6"/>
  <c r="AC12" i="6"/>
  <c r="AF12" i="6" s="1"/>
  <c r="AC16" i="6"/>
  <c r="AF16" i="6" s="1"/>
  <c r="AF10" i="6"/>
  <c r="AD20" i="6"/>
  <c r="AF20" i="6" s="1"/>
  <c r="AD9" i="6"/>
  <c r="AF9" i="6" s="1"/>
  <c r="AD8" i="6"/>
  <c r="AF8" i="6" s="1"/>
  <c r="AC5" i="6"/>
  <c r="AF5" i="6" s="1"/>
  <c r="AD13" i="6"/>
  <c r="AF13" i="6" s="1"/>
  <c r="AC4" i="6"/>
  <c r="AF4" i="6" s="1"/>
  <c r="AC17" i="6"/>
  <c r="AF17" i="6" s="1"/>
  <c r="AC25" i="6"/>
  <c r="AF25" i="6" s="1"/>
  <c r="S27" i="1"/>
  <c r="U27" i="1" s="1"/>
  <c r="E26" i="5" s="1"/>
  <c r="Z9" i="1"/>
  <c r="D8" i="5" s="1"/>
  <c r="Z19" i="1"/>
  <c r="D18" i="5" s="1"/>
  <c r="Z14" i="1"/>
  <c r="D13" i="5" s="1"/>
  <c r="S9" i="1"/>
  <c r="U9" i="1" s="1"/>
  <c r="E8" i="5" s="1"/>
  <c r="AA24" i="1"/>
  <c r="S21" i="1"/>
  <c r="U21" i="1" s="1"/>
  <c r="E20" i="5" s="1"/>
  <c r="AA26" i="1"/>
  <c r="AA23" i="1"/>
  <c r="AA18" i="1"/>
  <c r="Z15" i="1"/>
  <c r="Z11" i="1"/>
  <c r="Z7" i="1"/>
  <c r="Z8" i="1"/>
  <c r="S5" i="1"/>
  <c r="U5" i="1" s="1"/>
  <c r="E4" i="5" s="1"/>
  <c r="S23" i="1"/>
  <c r="U23" i="1" s="1"/>
  <c r="E22" i="5" s="1"/>
  <c r="AA12" i="1"/>
  <c r="S20" i="1"/>
  <c r="U20" i="1" s="1"/>
  <c r="E19" i="5" s="1"/>
  <c r="S12" i="1"/>
  <c r="U12" i="1" s="1"/>
  <c r="E11" i="5" s="1"/>
  <c r="AA10" i="1"/>
  <c r="S7" i="1"/>
  <c r="U7" i="1" s="1"/>
  <c r="E6" i="5" s="1"/>
  <c r="S16" i="1"/>
  <c r="U16" i="1" s="1"/>
  <c r="E15" i="5" s="1"/>
  <c r="S24" i="1"/>
  <c r="U24" i="1" s="1"/>
  <c r="E23" i="5" s="1"/>
  <c r="AA15" i="1"/>
  <c r="AA11" i="1"/>
  <c r="AA7" i="1"/>
  <c r="AA5" i="1"/>
  <c r="AA21" i="1"/>
  <c r="Z24" i="1"/>
  <c r="Z3" i="1"/>
  <c r="Z21" i="1"/>
  <c r="AA20" i="1"/>
  <c r="Z12" i="1"/>
  <c r="AA3" i="1"/>
  <c r="AA16" i="1"/>
  <c r="Z27" i="1"/>
  <c r="Z13" i="1"/>
  <c r="Z20" i="1"/>
  <c r="AA19" i="1"/>
  <c r="S25" i="1"/>
  <c r="U25" i="1" s="1"/>
  <c r="E24" i="5" s="1"/>
  <c r="Z10" i="1"/>
  <c r="S6" i="1"/>
  <c r="U6" i="1" s="1"/>
  <c r="E5" i="5" s="1"/>
  <c r="Z16" i="1"/>
  <c r="AA27" i="1"/>
  <c r="S13" i="1"/>
  <c r="U13" i="1" s="1"/>
  <c r="E12" i="5" s="1"/>
  <c r="S4" i="1"/>
  <c r="U4" i="1" s="1"/>
  <c r="E3" i="5" s="1"/>
  <c r="AA14" i="1"/>
  <c r="AA25" i="1"/>
  <c r="S17" i="1"/>
  <c r="U17" i="1" s="1"/>
  <c r="E16" i="5" s="1"/>
  <c r="AA9" i="1"/>
  <c r="Z6" i="1"/>
  <c r="Z22" i="1"/>
  <c r="S26" i="1"/>
  <c r="U26" i="1" s="1"/>
  <c r="E25" i="5" s="1"/>
  <c r="AA13" i="1"/>
  <c r="AA4" i="1"/>
  <c r="S18" i="1"/>
  <c r="U18" i="1" s="1"/>
  <c r="E17" i="5" s="1"/>
  <c r="S14" i="1"/>
  <c r="U14" i="1" s="1"/>
  <c r="E13" i="5" s="1"/>
  <c r="Z25" i="1"/>
  <c r="AA17" i="1"/>
  <c r="S8" i="1"/>
  <c r="U8" i="1" s="1"/>
  <c r="E7" i="5" s="1"/>
  <c r="AA6" i="1"/>
  <c r="AA22" i="1"/>
  <c r="Z26" i="1"/>
  <c r="Z23" i="1"/>
  <c r="Z4" i="1"/>
  <c r="Z18" i="1"/>
  <c r="S15" i="1"/>
  <c r="U15" i="1" s="1"/>
  <c r="E14" i="5" s="1"/>
  <c r="S11" i="1"/>
  <c r="U11" i="1" s="1"/>
  <c r="E10" i="5" s="1"/>
  <c r="Z17" i="1"/>
  <c r="AA8" i="1"/>
  <c r="Z5" i="1"/>
  <c r="S22" i="1"/>
  <c r="U22" i="1" s="1"/>
  <c r="E21" i="5" s="1"/>
  <c r="D4" i="5" l="1"/>
  <c r="C3" i="5"/>
  <c r="C18" i="5"/>
  <c r="F18" i="5" s="1"/>
  <c r="C7" i="5"/>
  <c r="D2" i="5"/>
  <c r="D7" i="5"/>
  <c r="AC24" i="1"/>
  <c r="D23" i="3" s="1"/>
  <c r="D23" i="5"/>
  <c r="D6" i="5"/>
  <c r="D21" i="5"/>
  <c r="D26" i="5"/>
  <c r="C9" i="5"/>
  <c r="C16" i="5"/>
  <c r="D5" i="5"/>
  <c r="C15" i="5"/>
  <c r="C4" i="5"/>
  <c r="F4" i="5" s="1"/>
  <c r="D14" i="5"/>
  <c r="D17" i="5"/>
  <c r="C6" i="5"/>
  <c r="F6" i="5" s="1"/>
  <c r="C17" i="5"/>
  <c r="D9" i="5"/>
  <c r="D11" i="5"/>
  <c r="C10" i="5"/>
  <c r="C11" i="5"/>
  <c r="C22" i="5"/>
  <c r="D25" i="5"/>
  <c r="C13" i="5"/>
  <c r="F13" i="5" s="1"/>
  <c r="D20" i="5"/>
  <c r="C21" i="5"/>
  <c r="C12" i="5"/>
  <c r="D19" i="5"/>
  <c r="C23" i="5"/>
  <c r="D16" i="5"/>
  <c r="C5" i="5"/>
  <c r="D12" i="5"/>
  <c r="C26" i="5"/>
  <c r="C20" i="5"/>
  <c r="D10" i="5"/>
  <c r="AC16" i="1"/>
  <c r="D15" i="3" s="1"/>
  <c r="D15" i="5"/>
  <c r="D24" i="5"/>
  <c r="C8" i="5"/>
  <c r="F8" i="5" s="1"/>
  <c r="C2" i="5"/>
  <c r="D3" i="5"/>
  <c r="D22" i="5"/>
  <c r="C24" i="5"/>
  <c r="C19" i="5"/>
  <c r="C14" i="5"/>
  <c r="C25" i="5"/>
  <c r="AB5" i="1"/>
  <c r="AC5" i="1" s="1"/>
  <c r="D4" i="3" s="1"/>
  <c r="AB26" i="1"/>
  <c r="AD26" i="1" s="1"/>
  <c r="AB21" i="1"/>
  <c r="AD21" i="1" s="1"/>
  <c r="AB20" i="1"/>
  <c r="AD20" i="1" s="1"/>
  <c r="AB3" i="1"/>
  <c r="AC3" i="1" s="1"/>
  <c r="D2" i="3" s="1"/>
  <c r="AB8" i="1"/>
  <c r="AD8" i="1" s="1"/>
  <c r="AB17" i="1"/>
  <c r="AD17" i="1" s="1"/>
  <c r="AB13" i="1"/>
  <c r="AC13" i="1" s="1"/>
  <c r="D12" i="3" s="1"/>
  <c r="AB24" i="1"/>
  <c r="AD24" i="1" s="1"/>
  <c r="AB7" i="1"/>
  <c r="AC7" i="1" s="1"/>
  <c r="D6" i="3" s="1"/>
  <c r="AB14" i="1"/>
  <c r="AC14" i="1" s="1"/>
  <c r="D13" i="3" s="1"/>
  <c r="AB22" i="1"/>
  <c r="AD22" i="1" s="1"/>
  <c r="AB27" i="1"/>
  <c r="AC27" i="1" s="1"/>
  <c r="D26" i="3" s="1"/>
  <c r="AB11" i="1"/>
  <c r="AC11" i="1" s="1"/>
  <c r="D10" i="3" s="1"/>
  <c r="AB6" i="1"/>
  <c r="AD6" i="1" s="1"/>
  <c r="AB16" i="1"/>
  <c r="AD16" i="1" s="1"/>
  <c r="AB15" i="1"/>
  <c r="AC15" i="1" s="1"/>
  <c r="D14" i="3" s="1"/>
  <c r="AB18" i="1"/>
  <c r="AD18" i="1" s="1"/>
  <c r="AB25" i="1"/>
  <c r="AD25" i="1" s="1"/>
  <c r="AB9" i="1"/>
  <c r="AC9" i="1" s="1"/>
  <c r="D8" i="3" s="1"/>
  <c r="AB4" i="1"/>
  <c r="AD4" i="1" s="1"/>
  <c r="AB10" i="1"/>
  <c r="AD10" i="1" s="1"/>
  <c r="AB12" i="1"/>
  <c r="AC12" i="1" s="1"/>
  <c r="D11" i="3" s="1"/>
  <c r="AB19" i="1"/>
  <c r="AC19" i="1" s="1"/>
  <c r="D18" i="3" s="1"/>
  <c r="AB23" i="1"/>
  <c r="AD23" i="1" s="1"/>
  <c r="AE16" i="1"/>
  <c r="AE18" i="1"/>
  <c r="AE25" i="1"/>
  <c r="AE9" i="1"/>
  <c r="AE12" i="1"/>
  <c r="AE5" i="1"/>
  <c r="AE26" i="1"/>
  <c r="AE14" i="1"/>
  <c r="AE19" i="1"/>
  <c r="AE21" i="1"/>
  <c r="AE8" i="1"/>
  <c r="AE20" i="1"/>
  <c r="AE17" i="1"/>
  <c r="AE24" i="1"/>
  <c r="AE3" i="1"/>
  <c r="AE7" i="1"/>
  <c r="AE10" i="1"/>
  <c r="AE11" i="1"/>
  <c r="AE23" i="1"/>
  <c r="AE15" i="1"/>
  <c r="AE22" i="1"/>
  <c r="AE13" i="1"/>
  <c r="AE6" i="1"/>
  <c r="AE27" i="1"/>
  <c r="AE4" i="1"/>
  <c r="AD7" i="1" l="1"/>
  <c r="F23" i="5"/>
  <c r="F11" i="5"/>
  <c r="AC18" i="1"/>
  <c r="D17" i="3" s="1"/>
  <c r="AD27" i="1"/>
  <c r="C26" i="4" s="1"/>
  <c r="AD13" i="1"/>
  <c r="AF13" i="1" s="1"/>
  <c r="AD19" i="1"/>
  <c r="C18" i="3" s="1"/>
  <c r="AD5" i="1"/>
  <c r="AF5" i="1" s="1"/>
  <c r="AD15" i="1"/>
  <c r="AF15" i="1" s="1"/>
  <c r="AC25" i="1"/>
  <c r="D24" i="3" s="1"/>
  <c r="AC21" i="1"/>
  <c r="D20" i="3" s="1"/>
  <c r="F14" i="5"/>
  <c r="F10" i="5"/>
  <c r="F7" i="5"/>
  <c r="AC4" i="1"/>
  <c r="D3" i="3" s="1"/>
  <c r="F20" i="5"/>
  <c r="AC20" i="1"/>
  <c r="D19" i="3" s="1"/>
  <c r="F12" i="5"/>
  <c r="F24" i="5"/>
  <c r="F5" i="5"/>
  <c r="AD14" i="1"/>
  <c r="AF14" i="1" s="1"/>
  <c r="F2" i="5"/>
  <c r="AC26" i="1"/>
  <c r="D25" i="3" s="1"/>
  <c r="C5" i="3"/>
  <c r="C16" i="3"/>
  <c r="C9" i="3"/>
  <c r="C7" i="3"/>
  <c r="C3" i="3"/>
  <c r="C21" i="3"/>
  <c r="C19" i="3"/>
  <c r="AF20" i="1"/>
  <c r="C24" i="3"/>
  <c r="C20" i="3"/>
  <c r="C25" i="3"/>
  <c r="AF23" i="1"/>
  <c r="C22" i="3"/>
  <c r="AF24" i="1"/>
  <c r="C23" i="3"/>
  <c r="AD12" i="1"/>
  <c r="AD3" i="1"/>
  <c r="C2" i="4" s="1"/>
  <c r="AD11" i="1"/>
  <c r="F15" i="5"/>
  <c r="AC6" i="1"/>
  <c r="D5" i="3" s="1"/>
  <c r="AC8" i="1"/>
  <c r="D7" i="3" s="1"/>
  <c r="F25" i="5"/>
  <c r="AD9" i="1"/>
  <c r="AC17" i="1"/>
  <c r="D16" i="3" s="1"/>
  <c r="F21" i="5"/>
  <c r="F22" i="5"/>
  <c r="AC10" i="1"/>
  <c r="D9" i="3" s="1"/>
  <c r="F16" i="5"/>
  <c r="C17" i="3"/>
  <c r="AF18" i="1"/>
  <c r="C14" i="3"/>
  <c r="C13" i="3"/>
  <c r="AF7" i="1"/>
  <c r="C6" i="3"/>
  <c r="C15" i="3"/>
  <c r="AF16" i="1"/>
  <c r="F19" i="5"/>
  <c r="AC22" i="1"/>
  <c r="D21" i="3" s="1"/>
  <c r="F3" i="5"/>
  <c r="F17" i="5"/>
  <c r="AC23" i="1"/>
  <c r="D22" i="3" s="1"/>
  <c r="F26" i="5"/>
  <c r="F9" i="5"/>
  <c r="C20" i="4"/>
  <c r="C22" i="4"/>
  <c r="C23" i="4"/>
  <c r="C5" i="4"/>
  <c r="D18" i="4"/>
  <c r="D22" i="4"/>
  <c r="D11" i="4"/>
  <c r="D23" i="4"/>
  <c r="C9" i="4"/>
  <c r="C16" i="4"/>
  <c r="C12" i="4"/>
  <c r="D10" i="4"/>
  <c r="D8" i="4"/>
  <c r="D12" i="4"/>
  <c r="D13" i="4"/>
  <c r="C3" i="4"/>
  <c r="C24" i="4"/>
  <c r="C19" i="4"/>
  <c r="C21" i="4"/>
  <c r="C25" i="4"/>
  <c r="C6" i="4"/>
  <c r="D6" i="4"/>
  <c r="C15" i="4"/>
  <c r="C17" i="4"/>
  <c r="C7" i="4"/>
  <c r="C14" i="4"/>
  <c r="D15" i="4"/>
  <c r="D14" i="4"/>
  <c r="D4" i="4"/>
  <c r="D2" i="4"/>
  <c r="D26" i="4"/>
  <c r="C12" i="3" l="1"/>
  <c r="D24" i="4"/>
  <c r="AF22" i="1"/>
  <c r="D17" i="4"/>
  <c r="C4" i="3"/>
  <c r="AF4" i="1"/>
  <c r="C18" i="4"/>
  <c r="D3" i="4"/>
  <c r="AF19" i="1"/>
  <c r="C4" i="4"/>
  <c r="AF26" i="1"/>
  <c r="AF27" i="1"/>
  <c r="C26" i="3"/>
  <c r="AF10" i="1"/>
  <c r="D20" i="4"/>
  <c r="D7" i="4"/>
  <c r="AF21" i="1"/>
  <c r="D25" i="4"/>
  <c r="AF25" i="1"/>
  <c r="AF8" i="1"/>
  <c r="D21" i="4"/>
  <c r="C13" i="4"/>
  <c r="D19" i="4"/>
  <c r="C10" i="3"/>
  <c r="AF11" i="1"/>
  <c r="C8" i="3"/>
  <c r="AF9" i="1"/>
  <c r="C2" i="3"/>
  <c r="AF3" i="1"/>
  <c r="C8" i="4"/>
  <c r="D16" i="4"/>
  <c r="C10" i="4"/>
  <c r="AF17" i="1"/>
  <c r="C11" i="3"/>
  <c r="AF12" i="1"/>
  <c r="D5" i="4"/>
  <c r="C11" i="4"/>
  <c r="AF6" i="1"/>
  <c r="D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<sst xmlns="http://schemas.openxmlformats.org/spreadsheetml/2006/main" count="118" uniqueCount="57">
  <si>
    <t>Year</t>
  </si>
  <si>
    <t>Total Usage</t>
  </si>
  <si>
    <t>Real MYA Price</t>
  </si>
  <si>
    <t>Supply</t>
  </si>
  <si>
    <t>Elasticity</t>
  </si>
  <si>
    <t>P</t>
  </si>
  <si>
    <t>P~</t>
  </si>
  <si>
    <t>A</t>
  </si>
  <si>
    <t>S</t>
  </si>
  <si>
    <t>V</t>
  </si>
  <si>
    <t>IV</t>
  </si>
  <si>
    <t>K</t>
  </si>
  <si>
    <t>G</t>
  </si>
  <si>
    <t>y</t>
  </si>
  <si>
    <t>dy</t>
  </si>
  <si>
    <t>S1</t>
  </si>
  <si>
    <t>U1</t>
  </si>
  <si>
    <t>S0</t>
  </si>
  <si>
    <t>U0</t>
  </si>
  <si>
    <t>const</t>
  </si>
  <si>
    <t>inverted elasticiy</t>
  </si>
  <si>
    <t>b0</t>
  </si>
  <si>
    <t>b1</t>
  </si>
  <si>
    <t>supply</t>
  </si>
  <si>
    <t>use</t>
  </si>
  <si>
    <t>dPrice</t>
  </si>
  <si>
    <t>GD</t>
  </si>
  <si>
    <t>GS</t>
  </si>
  <si>
    <t>yD</t>
  </si>
  <si>
    <t>yS</t>
  </si>
  <si>
    <t>U</t>
  </si>
  <si>
    <t>dp</t>
  </si>
  <si>
    <t>Pred_Base</t>
  </si>
  <si>
    <t>Pred_S_Only</t>
  </si>
  <si>
    <t>Pred_U_Only</t>
  </si>
  <si>
    <t>Pred_Curr</t>
  </si>
  <si>
    <t>C(S)</t>
  </si>
  <si>
    <t>C(U)</t>
  </si>
  <si>
    <t>lambda_S</t>
  </si>
  <si>
    <t>lambda_U</t>
  </si>
  <si>
    <t>E(S)</t>
  </si>
  <si>
    <t>E(U)</t>
  </si>
  <si>
    <t>Change in Price ($/bu, MYA)</t>
  </si>
  <si>
    <t>Supply-Driven Price Impact</t>
  </si>
  <si>
    <t>Usage-Driven Price Impact</t>
  </si>
  <si>
    <t>use impact</t>
  </si>
  <si>
    <t>supply impact</t>
  </si>
  <si>
    <t>RESID</t>
  </si>
  <si>
    <t>Demand Impact</t>
  </si>
  <si>
    <t>TF</t>
  </si>
  <si>
    <t>2026*</t>
  </si>
  <si>
    <t>USAGE</t>
  </si>
  <si>
    <t>SUPPLY</t>
  </si>
  <si>
    <t>sd</t>
  </si>
  <si>
    <t>mean + 2sd</t>
  </si>
  <si>
    <t>mean - 2sd</t>
  </si>
  <si>
    <t>z-score for weird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</si>
</sst>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9" borderId="1" applyNumberFormat="0" applyAlignment="0" applyProtection="0"/>
  </cellStyleXfs>
  <cellXfs count="12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7" borderId="0" xfId="1" applyNumberFormat="1" applyFont="1" applyFill="1"/>
    <xf numFmtId="164" fontId="0" fillId="0" borderId="0" xfId="0" applyNumberFormat="1"/>
    <xf numFmtId="0" fontId="0" fillId="7" borderId="0" xfId="0" applyFill="1"/>
    <xf numFmtId="0" fontId="0" fillId="8" borderId="0" xfId="0" applyFill="1"/>
    <xf numFmtId="0" fontId="3" fillId="9" borderId="1" xfId="2"/>
  </cellXfs>
  <cellStyles count="3">
    <cellStyle name="Calculation" xfId="2" builtinId="22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chart1!$A$2:$A$1048576</c:f>
              <c:numCache>
                <c:formatCode>General</c:formatCode>
                <c:ptCount val="104857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chart1!$C$2:$C$26</c:f>
              <c:numCache>
                <c:formatCode>"$"#,##0.00</c:formatCode>
                <c:ptCount val="25"/>
                <c:pt idx="0">
                  <c:v>8.1072142761747623E-2</c:v>
                </c:pt>
                <c:pt idx="1">
                  <c:v>1.0270971526718824</c:v>
                </c:pt>
                <c:pt idx="2">
                  <c:v>-1.1438167616066472</c:v>
                </c:pt>
                <c:pt idx="3">
                  <c:v>-1.14235263248051</c:v>
                </c:pt>
                <c:pt idx="4">
                  <c:v>-0.50343869990601453</c:v>
                </c:pt>
                <c:pt idx="5">
                  <c:v>1.3794704096849197</c:v>
                </c:pt>
                <c:pt idx="6">
                  <c:v>-2.9255784167605436</c:v>
                </c:pt>
                <c:pt idx="7">
                  <c:v>0.91312931236067341</c:v>
                </c:pt>
                <c:pt idx="8">
                  <c:v>-2.0041136718579784</c:v>
                </c:pt>
                <c:pt idx="9">
                  <c:v>1.797814865573466</c:v>
                </c:pt>
                <c:pt idx="10">
                  <c:v>2.5760862461716378</c:v>
                </c:pt>
                <c:pt idx="11">
                  <c:v>6.4568162126888238</c:v>
                </c:pt>
                <c:pt idx="12">
                  <c:v>-9.0235598178582475</c:v>
                </c:pt>
                <c:pt idx="13">
                  <c:v>-1.1915498551751129</c:v>
                </c:pt>
                <c:pt idx="14">
                  <c:v>1.7070624737407704E-2</c:v>
                </c:pt>
                <c:pt idx="15">
                  <c:v>-1.4374209193178138</c:v>
                </c:pt>
                <c:pt idx="16">
                  <c:v>-1.5705270841658021E-2</c:v>
                </c:pt>
                <c:pt idx="17">
                  <c:v>0.62107801889113268</c:v>
                </c:pt>
                <c:pt idx="18">
                  <c:v>0.42160285585514296</c:v>
                </c:pt>
                <c:pt idx="19">
                  <c:v>-0.10770371360063237</c:v>
                </c:pt>
                <c:pt idx="20">
                  <c:v>0.48075914164122657</c:v>
                </c:pt>
                <c:pt idx="21">
                  <c:v>2.5132041747926972</c:v>
                </c:pt>
                <c:pt idx="22">
                  <c:v>-3.2414716588483996</c:v>
                </c:pt>
                <c:pt idx="23">
                  <c:v>-0.30222943153157278</c:v>
                </c:pt>
                <c:pt idx="24">
                  <c:v>-1.467227549250123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C-4A93-B23E-3242693BA899}"/>
            </c:ext>
          </c:extLst>
        </c:ser>
        <c:ser>
          <c:idx val="1"/>
          <c:order val="1"/>
          <c:tx>
            <c:strRef>
              <c:f>chart1!$D$1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chart1!$A$2:$A$1048576</c:f>
              <c:numCache>
                <c:formatCode>General</c:formatCode>
                <c:ptCount val="104857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chart1!$D$2:$D$26</c:f>
              <c:numCache>
                <c:formatCode>"$"#,##0.00</c:formatCode>
                <c:ptCount val="25"/>
                <c:pt idx="0">
                  <c:v>3.7034975142927029E-2</c:v>
                </c:pt>
                <c:pt idx="1">
                  <c:v>-0.43426252998906306</c:v>
                </c:pt>
                <c:pt idx="2">
                  <c:v>1.2382277354041875</c:v>
                </c:pt>
                <c:pt idx="3">
                  <c:v>0.35078660589262362</c:v>
                </c:pt>
                <c:pt idx="4">
                  <c:v>0.31115724941786915</c:v>
                </c:pt>
                <c:pt idx="5">
                  <c:v>0.3149478255443694</c:v>
                </c:pt>
                <c:pt idx="6">
                  <c:v>4.6332893384414193</c:v>
                </c:pt>
                <c:pt idx="7">
                  <c:v>-1.4830387103249829</c:v>
                </c:pt>
                <c:pt idx="8">
                  <c:v>1.1079719445968499</c:v>
                </c:pt>
                <c:pt idx="9">
                  <c:v>0.63830976535116501</c:v>
                </c:pt>
                <c:pt idx="10">
                  <c:v>-1.3280156454273542</c:v>
                </c:pt>
                <c:pt idx="11">
                  <c:v>-5.7169911305771501</c:v>
                </c:pt>
                <c:pt idx="12">
                  <c:v>5.4544846551645403</c:v>
                </c:pt>
                <c:pt idx="13">
                  <c:v>5.628144893850202E-3</c:v>
                </c:pt>
                <c:pt idx="14">
                  <c:v>-0.23248503118885175</c:v>
                </c:pt>
                <c:pt idx="15">
                  <c:v>1.084455992679866</c:v>
                </c:pt>
                <c:pt idx="16">
                  <c:v>-2.2987072286732718E-2</c:v>
                </c:pt>
                <c:pt idx="17">
                  <c:v>-0.35282636467555112</c:v>
                </c:pt>
                <c:pt idx="18">
                  <c:v>-0.57486235998737345</c:v>
                </c:pt>
                <c:pt idx="19">
                  <c:v>1.1756532177328638</c:v>
                </c:pt>
                <c:pt idx="20">
                  <c:v>1.0859254248327623</c:v>
                </c:pt>
                <c:pt idx="21">
                  <c:v>-2.5550824319520999</c:v>
                </c:pt>
                <c:pt idx="22">
                  <c:v>0.78362859412615837</c:v>
                </c:pt>
                <c:pt idx="23">
                  <c:v>-0.11802478946435266</c:v>
                </c:pt>
                <c:pt idx="24">
                  <c:v>1.1444285256537023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4C-4A93-B23E-3242693B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840944"/>
        <c:axId val="703827024"/>
      </c:barChart>
      <c:lineChart>
        <c:grouping val="standard"/>
        <c:varyColors val="0"/>
        <c:ser>
          <c:idx val="2"/>
          <c:order val="2"/>
          <c:tx>
            <c:strRef>
              <c:f>chart1!$B$1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numRef>
              <c:f>chart1!$A$2:$A$26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chart1!$B$2:$B$26</c:f>
              <c:numCache>
                <c:formatCode>"$"#,##0.00</c:formatCode>
                <c:ptCount val="25"/>
                <c:pt idx="0">
                  <c:v>0.11810711790467465</c:v>
                </c:pt>
                <c:pt idx="1">
                  <c:v>0.59283462268281939</c:v>
                </c:pt>
                <c:pt idx="2">
                  <c:v>9.4410973797540265E-2</c:v>
                </c:pt>
                <c:pt idx="3">
                  <c:v>-0.79156602658788655</c:v>
                </c:pt>
                <c:pt idx="4">
                  <c:v>-0.19228145048814538</c:v>
                </c:pt>
                <c:pt idx="5">
                  <c:v>1.6944182352292891</c:v>
                </c:pt>
                <c:pt idx="6">
                  <c:v>1.7077109216808752</c:v>
                </c:pt>
                <c:pt idx="7">
                  <c:v>-0.56990939796430951</c:v>
                </c:pt>
                <c:pt idx="8">
                  <c:v>-0.89614172726112873</c:v>
                </c:pt>
                <c:pt idx="9">
                  <c:v>2.4361246309246312</c:v>
                </c:pt>
                <c:pt idx="10">
                  <c:v>1.2480706007442839</c:v>
                </c:pt>
                <c:pt idx="11">
                  <c:v>0.73982508211167364</c:v>
                </c:pt>
                <c:pt idx="12">
                  <c:v>-3.5690751626937063</c:v>
                </c:pt>
                <c:pt idx="13">
                  <c:v>-1.1859217102812627</c:v>
                </c:pt>
                <c:pt idx="14">
                  <c:v>-0.21541440645144405</c:v>
                </c:pt>
                <c:pt idx="15">
                  <c:v>-0.35296492663794776</c:v>
                </c:pt>
                <c:pt idx="16">
                  <c:v>-3.869234312839076E-2</c:v>
                </c:pt>
                <c:pt idx="17">
                  <c:v>0.2682516542155815</c:v>
                </c:pt>
                <c:pt idx="18">
                  <c:v>-0.15325950413223044</c:v>
                </c:pt>
                <c:pt idx="19">
                  <c:v>1.0679495041322316</c:v>
                </c:pt>
                <c:pt idx="20">
                  <c:v>1.566684566473989</c:v>
                </c:pt>
                <c:pt idx="21">
                  <c:v>-4.1878257159402743E-2</c:v>
                </c:pt>
                <c:pt idx="22">
                  <c:v>-2.4578430647222413</c:v>
                </c:pt>
                <c:pt idx="23">
                  <c:v>-0.42025422099592546</c:v>
                </c:pt>
                <c:pt idx="24">
                  <c:v>-0.32279902359642065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4C-4A93-B23E-3242693B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840944"/>
        <c:axId val="703827024"/>
      </c:line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9.5"/>
          <c:min val="-9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'chart1 w demand'!$C$1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25"/>
              <c:pt idx="0">
                <c:v>2001</c:v>
              </c:pt>
              <c:pt idx="1">
                <c:v>2002</c:v>
              </c:pt>
              <c:pt idx="2">
                <c:v>2003</c:v>
              </c:pt>
              <c:pt idx="3">
                <c:v>2004</c:v>
              </c:pt>
              <c:pt idx="4">
                <c:v>2005</c:v>
              </c:pt>
              <c:pt idx="5">
                <c:v>2006</c:v>
              </c:pt>
              <c:pt idx="6">
                <c:v>2007</c:v>
              </c:pt>
              <c:pt idx="7">
                <c:v>2008</c:v>
              </c:pt>
              <c:pt idx="8">
                <c:v>2009</c:v>
              </c:pt>
              <c:pt idx="9">
                <c:v>2010</c:v>
              </c:pt>
              <c:pt idx="10">
                <c:v>2011</c:v>
              </c:pt>
              <c:pt idx="11">
                <c:v>2012</c:v>
              </c:pt>
              <c:pt idx="12">
                <c:v>2013</c:v>
              </c:pt>
              <c:pt idx="13">
                <c:v>2014</c:v>
              </c:pt>
              <c:pt idx="14">
                <c:v>2015</c:v>
              </c:pt>
              <c:pt idx="15">
                <c:v>2016</c:v>
              </c:pt>
              <c:pt idx="16">
                <c:v>2017</c:v>
              </c:pt>
              <c:pt idx="17">
                <c:v>2018</c:v>
              </c:pt>
              <c:pt idx="18">
                <c:v>2019</c:v>
              </c:pt>
              <c:pt idx="19">
                <c:v>2020</c:v>
              </c:pt>
              <c:pt idx="20">
                <c:v>2021</c:v>
              </c:pt>
              <c:pt idx="21">
                <c:v>2022</c:v>
              </c:pt>
              <c:pt idx="22">
                <c:v>2023</c:v>
              </c:pt>
              <c:pt idx="23">
                <c:v>2024</c:v>
              </c:pt>
              <c:pt idx="24">
                <c:v>2025</c:v>
              </c:pt>
            </c:strLit>
          </c:cat>
          <c:val>
            <c:numRef>
              <c:f>'chart1 w demand'!$C$2:$C$26</c:f>
              <c:numCache>
                <c:formatCode>"$"#,##0.00</c:formatCode>
                <c:ptCount val="25"/>
                <c:pt idx="0">
                  <c:v>0.23163161167927138</c:v>
                </c:pt>
                <c:pt idx="1">
                  <c:v>1.2894373278603017</c:v>
                </c:pt>
                <c:pt idx="2">
                  <c:v>-1.0149261449455</c:v>
                </c:pt>
                <c:pt idx="3">
                  <c:v>-1.9379633573523589</c:v>
                </c:pt>
                <c:pt idx="4">
                  <c:v>-0.37354108129771757</c:v>
                </c:pt>
                <c:pt idx="5">
                  <c:v>1.3623319538575283</c:v>
                </c:pt>
                <c:pt idx="6">
                  <c:v>-3.3071362675964235</c:v>
                </c:pt>
                <c:pt idx="7">
                  <c:v>0.91108983742955196</c:v>
                </c:pt>
                <c:pt idx="8">
                  <c:v>-1.7109316335039737</c:v>
                </c:pt>
                <c:pt idx="9">
                  <c:v>1.9933825060509474</c:v>
                </c:pt>
                <c:pt idx="10">
                  <c:v>2.5579702313228321</c:v>
                </c:pt>
                <c:pt idx="11">
                  <c:v>6.4898344266665609</c:v>
                </c:pt>
                <c:pt idx="12">
                  <c:v>-8.8846626131292243</c:v>
                </c:pt>
                <c:pt idx="13">
                  <c:v>-1.500813480549728</c:v>
                </c:pt>
                <c:pt idx="14">
                  <c:v>2.5116695618560225E-2</c:v>
                </c:pt>
                <c:pt idx="15">
                  <c:v>-1.59147678093018</c:v>
                </c:pt>
                <c:pt idx="16">
                  <c:v>-7.2350707904274003E-3</c:v>
                </c:pt>
                <c:pt idx="17">
                  <c:v>0.48252791473864676</c:v>
                </c:pt>
                <c:pt idx="18">
                  <c:v>0.54367078995867324</c:v>
                </c:pt>
                <c:pt idx="19">
                  <c:v>-7.8180820336182677E-2</c:v>
                </c:pt>
                <c:pt idx="20">
                  <c:v>0.28486010598728173</c:v>
                </c:pt>
                <c:pt idx="21">
                  <c:v>2.4278693669175113</c:v>
                </c:pt>
                <c:pt idx="22">
                  <c:v>-2.9257785545807127</c:v>
                </c:pt>
                <c:pt idx="23">
                  <c:v>-8.0992289671257378E-2</c:v>
                </c:pt>
                <c:pt idx="24">
                  <c:v>-1.6052422431991098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8-45EE-974C-A7BDA1E4D944}"/>
            </c:ext>
          </c:extLst>
        </c:ser>
        <c:ser>
          <c:idx val="1"/>
          <c:order val="1"/>
          <c:tx>
            <c:strRef>
              <c:f>'chart1 w demand'!$D$1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Lit>
              <c:ptCount val="25"/>
              <c:pt idx="0">
                <c:v>2001</c:v>
              </c:pt>
              <c:pt idx="1">
                <c:v>2002</c:v>
              </c:pt>
              <c:pt idx="2">
                <c:v>2003</c:v>
              </c:pt>
              <c:pt idx="3">
                <c:v>2004</c:v>
              </c:pt>
              <c:pt idx="4">
                <c:v>2005</c:v>
              </c:pt>
              <c:pt idx="5">
                <c:v>2006</c:v>
              </c:pt>
              <c:pt idx="6">
                <c:v>2007</c:v>
              </c:pt>
              <c:pt idx="7">
                <c:v>2008</c:v>
              </c:pt>
              <c:pt idx="8">
                <c:v>2009</c:v>
              </c:pt>
              <c:pt idx="9">
                <c:v>2010</c:v>
              </c:pt>
              <c:pt idx="10">
                <c:v>2011</c:v>
              </c:pt>
              <c:pt idx="11">
                <c:v>2012</c:v>
              </c:pt>
              <c:pt idx="12">
                <c:v>2013</c:v>
              </c:pt>
              <c:pt idx="13">
                <c:v>2014</c:v>
              </c:pt>
              <c:pt idx="14">
                <c:v>2015</c:v>
              </c:pt>
              <c:pt idx="15">
                <c:v>2016</c:v>
              </c:pt>
              <c:pt idx="16">
                <c:v>2017</c:v>
              </c:pt>
              <c:pt idx="17">
                <c:v>2018</c:v>
              </c:pt>
              <c:pt idx="18">
                <c:v>2019</c:v>
              </c:pt>
              <c:pt idx="19">
                <c:v>2020</c:v>
              </c:pt>
              <c:pt idx="20">
                <c:v>2021</c:v>
              </c:pt>
              <c:pt idx="21">
                <c:v>2022</c:v>
              </c:pt>
              <c:pt idx="22">
                <c:v>2023</c:v>
              </c:pt>
              <c:pt idx="23">
                <c:v>2024</c:v>
              </c:pt>
              <c:pt idx="24">
                <c:v>2025</c:v>
              </c:pt>
            </c:strLit>
          </c:cat>
          <c:val>
            <c:numRef>
              <c:f>'chart1 w demand'!$D$2:$D$26</c:f>
              <c:numCache>
                <c:formatCode>"$"#,##0.00</c:formatCode>
                <c:ptCount val="25"/>
                <c:pt idx="0">
                  <c:v>0.10581280682401717</c:v>
                </c:pt>
                <c:pt idx="1">
                  <c:v>-0.36084703841809129</c:v>
                </c:pt>
                <c:pt idx="2">
                  <c:v>1.4183513662163856</c:v>
                </c:pt>
                <c:pt idx="3">
                  <c:v>0.24868965245557573</c:v>
                </c:pt>
                <c:pt idx="4">
                  <c:v>0.477049595824109</c:v>
                </c:pt>
                <c:pt idx="5">
                  <c:v>0.31103493306176944</c:v>
                </c:pt>
                <c:pt idx="6">
                  <c:v>4.154022729306627</c:v>
                </c:pt>
                <c:pt idx="7">
                  <c:v>-1.4863659410223864</c:v>
                </c:pt>
                <c:pt idx="8">
                  <c:v>1.3370938390887992</c:v>
                </c:pt>
                <c:pt idx="9">
                  <c:v>0.70774557717689657</c:v>
                </c:pt>
                <c:pt idx="10">
                  <c:v>-1.3374879808850197</c:v>
                </c:pt>
                <c:pt idx="11">
                  <c:v>-5.688052129980691</c:v>
                </c:pt>
                <c:pt idx="12">
                  <c:v>5.5411108835689777</c:v>
                </c:pt>
                <c:pt idx="13">
                  <c:v>4.6665391764424413E-3</c:v>
                </c:pt>
                <c:pt idx="14">
                  <c:v>-0.17607866835514008</c:v>
                </c:pt>
                <c:pt idx="15">
                  <c:v>0.98874491958893773</c:v>
                </c:pt>
                <c:pt idx="16">
                  <c:v>0.13465238055410289</c:v>
                </c:pt>
                <c:pt idx="17">
                  <c:v>-0.49494055945526316</c:v>
                </c:pt>
                <c:pt idx="18">
                  <c:v>-0.46945725413839767</c:v>
                </c:pt>
                <c:pt idx="19">
                  <c:v>1.8889734627972619</c:v>
                </c:pt>
                <c:pt idx="20">
                  <c:v>0.64343411246663651</c:v>
                </c:pt>
                <c:pt idx="21">
                  <c:v>-2.6481600207519143</c:v>
                </c:pt>
                <c:pt idx="22">
                  <c:v>0.87840945405660298</c:v>
                </c:pt>
                <c:pt idx="23">
                  <c:v>6.8160062829256685E-2</c:v>
                </c:pt>
                <c:pt idx="24">
                  <c:v>1.0538234350621898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8-45EE-974C-A7BDA1E4D944}"/>
            </c:ext>
          </c:extLst>
        </c:ser>
        <c:ser>
          <c:idx val="3"/>
          <c:order val="3"/>
          <c:tx>
            <c:strRef>
              <c:f>'chart1 w demand'!$E$1</c:f>
              <c:strCache>
                <c:ptCount val="1"/>
                <c:pt idx="0">
                  <c:v>Demand Impact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'chart1 w demand'!$A$2:$A$26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'chart1 w demand'!$E$2:$E$26</c:f>
              <c:numCache>
                <c:formatCode>"$"#,##0.00</c:formatCode>
                <c:ptCount val="25"/>
                <c:pt idx="0">
                  <c:v>-0.21933730059861389</c:v>
                </c:pt>
                <c:pt idx="1">
                  <c:v>-0.33575566675939106</c:v>
                </c:pt>
                <c:pt idx="2">
                  <c:v>-0.30901424747334527</c:v>
                </c:pt>
                <c:pt idx="3">
                  <c:v>0.89770767830889664</c:v>
                </c:pt>
                <c:pt idx="4">
                  <c:v>-0.2957899650145368</c:v>
                </c:pt>
                <c:pt idx="5">
                  <c:v>2.1051348309991447E-2</c:v>
                </c:pt>
                <c:pt idx="6">
                  <c:v>0.86082445997067225</c:v>
                </c:pt>
                <c:pt idx="7">
                  <c:v>5.3667056285249259E-3</c:v>
                </c:pt>
                <c:pt idx="8">
                  <c:v>-0.52230393284595422</c:v>
                </c:pt>
                <c:pt idx="9">
                  <c:v>-0.26500345230321276</c:v>
                </c:pt>
                <c:pt idx="10">
                  <c:v>2.7588350306471554E-2</c:v>
                </c:pt>
                <c:pt idx="11">
                  <c:v>-6.1957214574196229E-2</c:v>
                </c:pt>
                <c:pt idx="12">
                  <c:v>-0.22552343313345968</c:v>
                </c:pt>
                <c:pt idx="13">
                  <c:v>0.31022523109202282</c:v>
                </c:pt>
                <c:pt idx="14">
                  <c:v>-6.4452433714864199E-2</c:v>
                </c:pt>
                <c:pt idx="15">
                  <c:v>0.24976693470329447</c:v>
                </c:pt>
                <c:pt idx="16">
                  <c:v>-0.16610965289206625</c:v>
                </c:pt>
                <c:pt idx="17">
                  <c:v>0.28066429893219791</c:v>
                </c:pt>
                <c:pt idx="18">
                  <c:v>-0.22747303995250601</c:v>
                </c:pt>
                <c:pt idx="19">
                  <c:v>-0.74284313832884763</c:v>
                </c:pt>
                <c:pt idx="20">
                  <c:v>0.63839034802007077</c:v>
                </c:pt>
                <c:pt idx="21">
                  <c:v>0.1784123966750002</c:v>
                </c:pt>
                <c:pt idx="22">
                  <c:v>-0.41047396419813165</c:v>
                </c:pt>
                <c:pt idx="23">
                  <c:v>-0.40742199415392477</c:v>
                </c:pt>
                <c:pt idx="24">
                  <c:v>0.22861978454049936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C8-45EE-974C-A7BDA1E4D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840944"/>
        <c:axId val="703827024"/>
      </c:barChart>
      <c:lineChart>
        <c:grouping val="standard"/>
        <c:varyColors val="0"/>
        <c:ser>
          <c:idx val="2"/>
          <c:order val="2"/>
          <c:tx>
            <c:strRef>
              <c:f>'chart1 w demand'!$B$1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numRef>
              <c:f>'chart1 w demand'!$A$2:$A$26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'chart1 w demand'!$B$2:$B$26</c:f>
              <c:numCache>
                <c:formatCode>"$"#,##0.00</c:formatCode>
                <c:ptCount val="25"/>
                <c:pt idx="0">
                  <c:v>0.11810711790467465</c:v>
                </c:pt>
                <c:pt idx="1">
                  <c:v>0.59283462268281939</c:v>
                </c:pt>
                <c:pt idx="2">
                  <c:v>9.4410973797540265E-2</c:v>
                </c:pt>
                <c:pt idx="3">
                  <c:v>-0.79156602658788655</c:v>
                </c:pt>
                <c:pt idx="4">
                  <c:v>-0.19228145048814538</c:v>
                </c:pt>
                <c:pt idx="5">
                  <c:v>1.6944182352292891</c:v>
                </c:pt>
                <c:pt idx="6">
                  <c:v>1.7077109216808752</c:v>
                </c:pt>
                <c:pt idx="7">
                  <c:v>-0.56990939796430951</c:v>
                </c:pt>
                <c:pt idx="8">
                  <c:v>-0.89614172726112873</c:v>
                </c:pt>
                <c:pt idx="9">
                  <c:v>2.4361246309246312</c:v>
                </c:pt>
                <c:pt idx="10">
                  <c:v>1.2480706007442839</c:v>
                </c:pt>
                <c:pt idx="11">
                  <c:v>0.73982508211167364</c:v>
                </c:pt>
                <c:pt idx="12">
                  <c:v>-3.5690751626937063</c:v>
                </c:pt>
                <c:pt idx="13">
                  <c:v>-1.1859217102812627</c:v>
                </c:pt>
                <c:pt idx="14">
                  <c:v>-0.21541440645144405</c:v>
                </c:pt>
                <c:pt idx="15">
                  <c:v>-0.35296492663794776</c:v>
                </c:pt>
                <c:pt idx="16">
                  <c:v>-3.869234312839076E-2</c:v>
                </c:pt>
                <c:pt idx="17">
                  <c:v>0.2682516542155815</c:v>
                </c:pt>
                <c:pt idx="18">
                  <c:v>-0.15325950413223044</c:v>
                </c:pt>
                <c:pt idx="19">
                  <c:v>1.0679495041322316</c:v>
                </c:pt>
                <c:pt idx="20">
                  <c:v>1.566684566473989</c:v>
                </c:pt>
                <c:pt idx="21">
                  <c:v>-4.1878257159402743E-2</c:v>
                </c:pt>
                <c:pt idx="22">
                  <c:v>-2.4578430647222413</c:v>
                </c:pt>
                <c:pt idx="23">
                  <c:v>-0.42025422099592546</c:v>
                </c:pt>
                <c:pt idx="24">
                  <c:v>-0.32279902359642065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C8-45EE-974C-A7BDA1E4D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840944"/>
        <c:axId val="703827024"/>
      </c:line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11"/>
          <c:min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stacked!$C$1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stacked!$A$2:$A$26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stacked!$C$2:$C$26</c:f>
              <c:numCache>
                <c:formatCode>"$"#,##0.00</c:formatCode>
                <c:ptCount val="25"/>
                <c:pt idx="0">
                  <c:v>8.1072142761747623E-2</c:v>
                </c:pt>
                <c:pt idx="1">
                  <c:v>1.0270971526718824</c:v>
                </c:pt>
                <c:pt idx="2">
                  <c:v>-1.1438167616066472</c:v>
                </c:pt>
                <c:pt idx="3">
                  <c:v>-1.14235263248051</c:v>
                </c:pt>
                <c:pt idx="4">
                  <c:v>-0.50343869990601453</c:v>
                </c:pt>
                <c:pt idx="5">
                  <c:v>1.3794704096849197</c:v>
                </c:pt>
                <c:pt idx="6">
                  <c:v>-2.9255784167605436</c:v>
                </c:pt>
                <c:pt idx="7">
                  <c:v>0.91312931236067341</c:v>
                </c:pt>
                <c:pt idx="8">
                  <c:v>-2.0041136718579784</c:v>
                </c:pt>
                <c:pt idx="9">
                  <c:v>1.797814865573466</c:v>
                </c:pt>
                <c:pt idx="10">
                  <c:v>2.5760862461716378</c:v>
                </c:pt>
                <c:pt idx="11">
                  <c:v>6.4568162126888238</c:v>
                </c:pt>
                <c:pt idx="12">
                  <c:v>-9.0235598178582475</c:v>
                </c:pt>
                <c:pt idx="13">
                  <c:v>-1.1915498551751129</c:v>
                </c:pt>
                <c:pt idx="14">
                  <c:v>1.7070624737407704E-2</c:v>
                </c:pt>
                <c:pt idx="15">
                  <c:v>-1.4374209193178138</c:v>
                </c:pt>
                <c:pt idx="16">
                  <c:v>-1.5705270841658021E-2</c:v>
                </c:pt>
                <c:pt idx="17">
                  <c:v>0.62107801889113268</c:v>
                </c:pt>
                <c:pt idx="18">
                  <c:v>0.42160285585514296</c:v>
                </c:pt>
                <c:pt idx="19">
                  <c:v>-0.10770371360063237</c:v>
                </c:pt>
                <c:pt idx="20">
                  <c:v>0.48075914164122657</c:v>
                </c:pt>
                <c:pt idx="21">
                  <c:v>2.5132041747926972</c:v>
                </c:pt>
                <c:pt idx="22">
                  <c:v>-3.2414716588483996</c:v>
                </c:pt>
                <c:pt idx="23">
                  <c:v>-0.30222943153157278</c:v>
                </c:pt>
                <c:pt idx="24">
                  <c:v>-1.467227549250123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F-405B-836D-D8C0241A9670}"/>
            </c:ext>
          </c:extLst>
        </c:ser>
        <c:ser>
          <c:idx val="1"/>
          <c:order val="1"/>
          <c:tx>
            <c:strRef>
              <c:f>stacked!$D$1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stacked!$A$2:$A$26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stacked!$D$2:$D$26</c:f>
              <c:numCache>
                <c:formatCode>"$"#,##0.00</c:formatCode>
                <c:ptCount val="25"/>
                <c:pt idx="0">
                  <c:v>3.7034975142927029E-2</c:v>
                </c:pt>
                <c:pt idx="1">
                  <c:v>-0.43426252998906306</c:v>
                </c:pt>
                <c:pt idx="2">
                  <c:v>1.2382277354041875</c:v>
                </c:pt>
                <c:pt idx="3">
                  <c:v>0.35078660589262362</c:v>
                </c:pt>
                <c:pt idx="4">
                  <c:v>0.31115724941786915</c:v>
                </c:pt>
                <c:pt idx="5">
                  <c:v>0.3149478255443694</c:v>
                </c:pt>
                <c:pt idx="6">
                  <c:v>4.6332893384414193</c:v>
                </c:pt>
                <c:pt idx="7">
                  <c:v>-1.4830387103249829</c:v>
                </c:pt>
                <c:pt idx="8">
                  <c:v>1.1079719445968499</c:v>
                </c:pt>
                <c:pt idx="9">
                  <c:v>0.63830976535116501</c:v>
                </c:pt>
                <c:pt idx="10">
                  <c:v>-1.3280156454273542</c:v>
                </c:pt>
                <c:pt idx="11">
                  <c:v>-5.7169911305771501</c:v>
                </c:pt>
                <c:pt idx="12">
                  <c:v>5.4544846551645403</c:v>
                </c:pt>
                <c:pt idx="13">
                  <c:v>5.628144893850202E-3</c:v>
                </c:pt>
                <c:pt idx="14">
                  <c:v>-0.23248503118885175</c:v>
                </c:pt>
                <c:pt idx="15">
                  <c:v>1.084455992679866</c:v>
                </c:pt>
                <c:pt idx="16">
                  <c:v>-2.2987072286732718E-2</c:v>
                </c:pt>
                <c:pt idx="17">
                  <c:v>-0.35282636467555112</c:v>
                </c:pt>
                <c:pt idx="18">
                  <c:v>-0.57486235998737345</c:v>
                </c:pt>
                <c:pt idx="19">
                  <c:v>1.1756532177328638</c:v>
                </c:pt>
                <c:pt idx="20">
                  <c:v>1.0859254248327623</c:v>
                </c:pt>
                <c:pt idx="21">
                  <c:v>-2.5550824319520999</c:v>
                </c:pt>
                <c:pt idx="22">
                  <c:v>0.78362859412615837</c:v>
                </c:pt>
                <c:pt idx="23">
                  <c:v>-0.11802478946435266</c:v>
                </c:pt>
                <c:pt idx="24">
                  <c:v>1.1444285256537023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8F-405B-836D-D8C0241A9670}"/>
            </c:ext>
          </c:extLst>
        </c:ser>
        <c:ser>
          <c:idx val="2"/>
          <c:order val="2"/>
          <c:tx>
            <c:strRef>
              <c:f>stacked!$B$1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25400">
              <a:noFill/>
              <a:prstDash val="dash"/>
            </a:ln>
            <a:effectLst/>
          </c:spPr>
          <c:invertIfNegative val="0"/>
          <c:cat>
            <c:numRef>
              <c:f>stacked!$A$2:$A$26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stacked!$B$2:$B$26</c:f>
              <c:numCache>
                <c:formatCode>"$"#,##0.00</c:formatCode>
                <c:ptCount val="25"/>
                <c:pt idx="0">
                  <c:v>0.11810711790467465</c:v>
                </c:pt>
                <c:pt idx="1">
                  <c:v>0.59283462268281939</c:v>
                </c:pt>
                <c:pt idx="2">
                  <c:v>9.4410973797540265E-2</c:v>
                </c:pt>
                <c:pt idx="3">
                  <c:v>-0.79156602658788655</c:v>
                </c:pt>
                <c:pt idx="4">
                  <c:v>-0.19228145048814538</c:v>
                </c:pt>
                <c:pt idx="5">
                  <c:v>1.6944182352292891</c:v>
                </c:pt>
                <c:pt idx="6">
                  <c:v>1.7077109216808752</c:v>
                </c:pt>
                <c:pt idx="7">
                  <c:v>-0.56990939796430951</c:v>
                </c:pt>
                <c:pt idx="8">
                  <c:v>-0.89614172726112873</c:v>
                </c:pt>
                <c:pt idx="9">
                  <c:v>2.4361246309246312</c:v>
                </c:pt>
                <c:pt idx="10">
                  <c:v>1.2480706007442839</c:v>
                </c:pt>
                <c:pt idx="11">
                  <c:v>0.73982508211167364</c:v>
                </c:pt>
                <c:pt idx="12">
                  <c:v>-3.5690751626937063</c:v>
                </c:pt>
                <c:pt idx="13">
                  <c:v>-1.1859217102812627</c:v>
                </c:pt>
                <c:pt idx="14">
                  <c:v>-0.21541440645144405</c:v>
                </c:pt>
                <c:pt idx="15">
                  <c:v>-0.35296492663794776</c:v>
                </c:pt>
                <c:pt idx="16">
                  <c:v>-3.869234312839076E-2</c:v>
                </c:pt>
                <c:pt idx="17">
                  <c:v>0.2682516542155815</c:v>
                </c:pt>
                <c:pt idx="18">
                  <c:v>-0.15325950413223044</c:v>
                </c:pt>
                <c:pt idx="19">
                  <c:v>1.0679495041322316</c:v>
                </c:pt>
                <c:pt idx="20">
                  <c:v>1.566684566473989</c:v>
                </c:pt>
                <c:pt idx="21">
                  <c:v>-4.1878257159402743E-2</c:v>
                </c:pt>
                <c:pt idx="22">
                  <c:v>-2.4578430647222413</c:v>
                </c:pt>
                <c:pt idx="23">
                  <c:v>-0.42025422099592546</c:v>
                </c:pt>
                <c:pt idx="24">
                  <c:v>-0.32279902359642065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F-405B-836D-D8C0241A9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3840944"/>
        <c:axId val="703827024"/>
      </c:bar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1</xdr:row>
      <xdr:rowOff>7620</xdr:rowOff>
    </xdr:from>
    <xdr:to>
      <xdr:col>15</xdr:col>
      <xdr:colOff>144780</xdr:colOff>
      <xdr:row>22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5E066-538C-495B-9895-95B22B5A9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137160</xdr:rowOff>
    </xdr:from>
    <xdr:to>
      <xdr:col>16</xdr:col>
      <xdr:colOff>358140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666C5-1A5D-4BB7-8177-8D823330E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0</xdr:row>
      <xdr:rowOff>129540</xdr:rowOff>
    </xdr:from>
    <xdr:to>
      <xdr:col>14</xdr:col>
      <xdr:colOff>426720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F002B-3657-4390-84B9-E3E34E19D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208C-EE75-4679-A3FA-3DF341271E54}">
  <dimension ref="A1:AH27"/>
  <sheetViews>
    <sheetView topLeftCell="P1" workbookViewId="0">
      <selection activeCell="Q15" sqref="Q15"/>
    </sheetView>
  </sheetViews>
  <sheetFormatPr defaultRowHeight="14.4" x14ac:dyDescent="0.3"/>
  <cols>
    <col min="24" max="24" width="12.6640625" bestFit="1" customWidth="1"/>
    <col min="25" max="25" width="15.109375" bestFit="1" customWidth="1"/>
    <col min="26" max="26" width="14" bestFit="1" customWidth="1"/>
    <col min="27" max="27" width="12.44140625" bestFit="1" customWidth="1"/>
    <col min="28" max="28" width="15.109375" bestFit="1" customWidth="1"/>
    <col min="29" max="29" width="14" bestFit="1" customWidth="1"/>
  </cols>
  <sheetData>
    <row r="1" spans="1:34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>
        <v>-0.17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31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</row>
    <row r="2" spans="1:34" x14ac:dyDescent="0.3">
      <c r="A2">
        <v>2000</v>
      </c>
      <c r="B2" s="1">
        <v>247415</v>
      </c>
      <c r="C2" s="1">
        <v>3.6736133122028529</v>
      </c>
      <c r="D2" s="1">
        <v>295655</v>
      </c>
      <c r="E2" t="s">
        <v>20</v>
      </c>
      <c r="F2">
        <f>1/F1</f>
        <v>-5.8823529411764701</v>
      </c>
      <c r="G2">
        <v>2000</v>
      </c>
      <c r="H2">
        <f>C2</f>
        <v>3.6736133122028529</v>
      </c>
      <c r="I2">
        <f>H2^$F$1</f>
        <v>0.8015564537064388</v>
      </c>
      <c r="J2">
        <f>B2/I2</f>
        <v>308668.21526536299</v>
      </c>
      <c r="K2">
        <f>D2/J2</f>
        <v>0.95784076681113572</v>
      </c>
      <c r="L2">
        <f>K2^$F$2</f>
        <v>1.2883661645613214</v>
      </c>
      <c r="M2" s="3">
        <f>100*L2/$L$11</f>
        <v>48.924870695448078</v>
      </c>
      <c r="N2">
        <f>100*$K$11^-$F$2</f>
        <v>37.974352355105992</v>
      </c>
      <c r="O2">
        <f t="shared" ref="O2:O27" si="0">(D2/B2)^$F$2</f>
        <v>0.35070815980595504</v>
      </c>
      <c r="P2" s="4">
        <f t="shared" ref="P2:P27" si="1">$F$3+$F$4*(N2*H2)*O2</f>
        <v>3.500665810532519</v>
      </c>
      <c r="S2">
        <f t="shared" ref="S2:S27" si="2">D2</f>
        <v>295655</v>
      </c>
      <c r="T2">
        <f t="shared" ref="T2:T27" si="3">B2</f>
        <v>247415</v>
      </c>
    </row>
    <row r="3" spans="1:34" x14ac:dyDescent="0.3">
      <c r="A3">
        <v>2001</v>
      </c>
      <c r="B3" s="1">
        <v>249324</v>
      </c>
      <c r="C3" s="1">
        <v>3.7917204301075276</v>
      </c>
      <c r="D3" s="1">
        <v>289875</v>
      </c>
      <c r="E3" t="s">
        <v>21</v>
      </c>
      <c r="F3" s="1">
        <v>1.9155</v>
      </c>
      <c r="G3">
        <v>2001</v>
      </c>
      <c r="H3">
        <f t="shared" ref="H3:H27" si="4">C3</f>
        <v>3.7917204301075276</v>
      </c>
      <c r="I3">
        <f t="shared" ref="I3:I27" si="5">H3^$F$1</f>
        <v>0.79725605726351467</v>
      </c>
      <c r="J3">
        <f t="shared" ref="J3:J27" si="6">B3/I3</f>
        <v>312727.63339769986</v>
      </c>
      <c r="K3">
        <f t="shared" ref="K3:K27" si="7">D3/J3</f>
        <v>0.92692480306453173</v>
      </c>
      <c r="L3">
        <f t="shared" ref="L3:L27" si="8">K3^$F$2</f>
        <v>1.5626289377873368</v>
      </c>
      <c r="M3" s="3">
        <f t="shared" ref="M3:M27" si="9">100*L3/$L$11</f>
        <v>59.339821883821323</v>
      </c>
      <c r="N3">
        <f t="shared" ref="N3:N27" si="10">100*$K$11^-$F$2</f>
        <v>37.974352355105992</v>
      </c>
      <c r="O3">
        <f t="shared" si="0"/>
        <v>0.41211607411230528</v>
      </c>
      <c r="P3" s="4">
        <f t="shared" si="1"/>
        <v>3.8381102290358098</v>
      </c>
      <c r="Q3" s="5">
        <f>H3-H2</f>
        <v>0.11810711790467465</v>
      </c>
      <c r="R3" s="5">
        <f>P3-P2</f>
        <v>0.33744441850329077</v>
      </c>
      <c r="S3">
        <f t="shared" si="2"/>
        <v>289875</v>
      </c>
      <c r="T3">
        <f t="shared" si="3"/>
        <v>249324</v>
      </c>
      <c r="U3">
        <v>295655</v>
      </c>
      <c r="V3">
        <v>247415</v>
      </c>
      <c r="W3">
        <f>N3*H3*$F$4</f>
        <v>4.6652153356966162</v>
      </c>
      <c r="X3">
        <f>$F$3+W3*((U3/V3)^$F$2)</f>
        <v>3.5516290854806813</v>
      </c>
      <c r="Y3">
        <f>$F$3+W3*((S3/V3)^$F$2)</f>
        <v>3.7531195502213341</v>
      </c>
      <c r="Z3">
        <f>$F$3+W3*((U3/T3)^$F$2)</f>
        <v>3.6273007453660817</v>
      </c>
      <c r="AA3">
        <f>$F$3+W3*((S3/T3)^$F$2)</f>
        <v>3.8381102290358098</v>
      </c>
      <c r="AB3">
        <f>0.5*((Y3-X3)+(AA3-Z3))</f>
        <v>0.20614997420519043</v>
      </c>
      <c r="AC3">
        <f>0.5*((Z3-X3)+(AA3-Y3))</f>
        <v>8.0331169349938003E-2</v>
      </c>
      <c r="AD3">
        <f>AC3+AB3</f>
        <v>0.28648114355512844</v>
      </c>
      <c r="AE3">
        <f>(AB3)/(ABS(AB3)+ABS(AC3))</f>
        <v>0.71959351895535972</v>
      </c>
      <c r="AF3">
        <f>(AC3)/(ABS(AB3)+ABS(AC3))</f>
        <v>0.28040648104464033</v>
      </c>
      <c r="AG3" s="7">
        <f>AE3*$Q3</f>
        <v>8.49891165867004E-2</v>
      </c>
      <c r="AH3" s="7">
        <f>AF3*$Q3</f>
        <v>3.3118001317974252E-2</v>
      </c>
    </row>
    <row r="4" spans="1:34" x14ac:dyDescent="0.3">
      <c r="A4">
        <v>2002</v>
      </c>
      <c r="B4" s="1">
        <v>241082</v>
      </c>
      <c r="C4" s="1">
        <v>4.384555052790347</v>
      </c>
      <c r="D4" s="1">
        <v>268685</v>
      </c>
      <c r="E4" t="s">
        <v>22</v>
      </c>
      <c r="F4" s="1">
        <v>3.2399999999999998E-2</v>
      </c>
      <c r="G4">
        <v>2002</v>
      </c>
      <c r="H4">
        <f t="shared" si="4"/>
        <v>4.384555052790347</v>
      </c>
      <c r="I4">
        <f t="shared" si="5"/>
        <v>0.77780845604991511</v>
      </c>
      <c r="J4">
        <f t="shared" si="6"/>
        <v>309950.34590435051</v>
      </c>
      <c r="K4">
        <f t="shared" si="7"/>
        <v>0.86686465606628216</v>
      </c>
      <c r="L4">
        <f t="shared" si="8"/>
        <v>2.3173539651052302</v>
      </c>
      <c r="M4" s="3">
        <f t="shared" si="9"/>
        <v>88.000016002407989</v>
      </c>
      <c r="N4">
        <f t="shared" si="10"/>
        <v>37.974352355105992</v>
      </c>
      <c r="O4">
        <f t="shared" si="0"/>
        <v>0.52852659784268341</v>
      </c>
      <c r="P4" s="4">
        <f t="shared" si="1"/>
        <v>4.766700518478018</v>
      </c>
      <c r="Q4" s="5">
        <f t="shared" ref="Q4:Q27" si="11">H4-H3</f>
        <v>0.59283462268281939</v>
      </c>
      <c r="R4" s="5">
        <f t="shared" ref="R4:R19" si="12">P4-P3</f>
        <v>0.92859028944220823</v>
      </c>
      <c r="S4">
        <f t="shared" si="2"/>
        <v>268685</v>
      </c>
      <c r="T4">
        <f t="shared" si="3"/>
        <v>241082</v>
      </c>
      <c r="U4">
        <v>289875</v>
      </c>
      <c r="V4">
        <v>249324</v>
      </c>
      <c r="W4">
        <f t="shared" ref="W4:W27" si="13">N4*H4*$F$4</f>
        <v>5.394620687238679</v>
      </c>
      <c r="X4">
        <f t="shared" ref="X4:X27" si="14">$F$3+W4*((U4/V4)^$F$2)</f>
        <v>4.1387098989498305</v>
      </c>
      <c r="Y4">
        <f t="shared" ref="Y4:Y27" si="15">$F$3+W4*((S4/V4)^$F$2)</f>
        <v>5.3901094576996762</v>
      </c>
      <c r="Z4">
        <f t="shared" ref="Z4:Z27" si="16">$F$3+W4*((U4/T4)^$F$2)</f>
        <v>3.7398250914212832</v>
      </c>
      <c r="AA4">
        <f t="shared" ref="AA4:AA27" si="17">$F$3+W4*((S4/T4)^$F$2)</f>
        <v>4.766700518478018</v>
      </c>
      <c r="AB4">
        <f t="shared" ref="AB4:AB27" si="18">0.5*((Y4-X4)+(AA4-Z4))</f>
        <v>1.1391374929032902</v>
      </c>
      <c r="AC4">
        <f t="shared" ref="AC4:AC27" si="19">0.5*((Z4-X4)+(AA4-Y4))</f>
        <v>-0.51114687337510278</v>
      </c>
      <c r="AD4">
        <f t="shared" ref="AD4:AD27" si="20">AC4+AB4</f>
        <v>0.62799061952818747</v>
      </c>
      <c r="AE4">
        <f t="shared" ref="AE4:AE27" si="21">(AB4)/(ABS(AB4)+ABS(AC4))</f>
        <v>0.69026739644404089</v>
      </c>
      <c r="AF4">
        <f t="shared" ref="AF4:AF27" si="22">(AC4)/(ABS(AB4)+ABS(AC4))</f>
        <v>-0.30973260355595916</v>
      </c>
      <c r="AG4" s="7">
        <f t="shared" ref="AG4:AH27" si="23">AE4*$Q4</f>
        <v>0.40921441152115506</v>
      </c>
      <c r="AH4" s="7">
        <f t="shared" si="23"/>
        <v>-0.18362021116166433</v>
      </c>
    </row>
    <row r="5" spans="1:34" x14ac:dyDescent="0.3">
      <c r="A5">
        <v>2003</v>
      </c>
      <c r="B5" s="1">
        <v>259853</v>
      </c>
      <c r="C5" s="1">
        <v>4.4789660265878872</v>
      </c>
      <c r="D5" s="1">
        <v>284190</v>
      </c>
      <c r="G5">
        <v>2003</v>
      </c>
      <c r="H5">
        <f t="shared" si="4"/>
        <v>4.4789660265878872</v>
      </c>
      <c r="I5">
        <f t="shared" si="5"/>
        <v>0.77499656820133334</v>
      </c>
      <c r="J5">
        <f t="shared" si="6"/>
        <v>335295.67828033766</v>
      </c>
      <c r="K5">
        <f t="shared" si="7"/>
        <v>0.84758026544675991</v>
      </c>
      <c r="L5">
        <f t="shared" si="8"/>
        <v>2.6452435786475923</v>
      </c>
      <c r="M5" s="3">
        <f t="shared" si="9"/>
        <v>100.45141172064518</v>
      </c>
      <c r="N5">
        <f t="shared" si="10"/>
        <v>37.974352355105992</v>
      </c>
      <c r="O5">
        <f t="shared" si="0"/>
        <v>0.59059246329286397</v>
      </c>
      <c r="P5" s="4">
        <f t="shared" si="1"/>
        <v>5.1701257397489035</v>
      </c>
      <c r="Q5" s="5">
        <f t="shared" si="11"/>
        <v>9.4410973797540265E-2</v>
      </c>
      <c r="R5" s="5">
        <f t="shared" si="12"/>
        <v>0.40342522127088554</v>
      </c>
      <c r="S5">
        <f t="shared" si="2"/>
        <v>284190</v>
      </c>
      <c r="T5">
        <f t="shared" si="3"/>
        <v>259853</v>
      </c>
      <c r="U5">
        <v>268685</v>
      </c>
      <c r="V5">
        <v>241082</v>
      </c>
      <c r="W5">
        <f t="shared" si="13"/>
        <v>5.5107810241983977</v>
      </c>
      <c r="X5">
        <f t="shared" si="14"/>
        <v>4.8280943461755976</v>
      </c>
      <c r="Y5">
        <f t="shared" si="15"/>
        <v>4.0093920764899158</v>
      </c>
      <c r="Z5">
        <f t="shared" si="16"/>
        <v>6.4426695876518014</v>
      </c>
      <c r="AA5">
        <f t="shared" si="17"/>
        <v>5.1701257397489035</v>
      </c>
      <c r="AB5">
        <f t="shared" si="18"/>
        <v>-1.0456230587942899</v>
      </c>
      <c r="AC5">
        <f t="shared" si="19"/>
        <v>1.3876544523675958</v>
      </c>
      <c r="AD5">
        <f t="shared" si="20"/>
        <v>0.34203139357330592</v>
      </c>
      <c r="AE5">
        <f t="shared" si="21"/>
        <v>-0.42971796434965887</v>
      </c>
      <c r="AF5">
        <f t="shared" si="22"/>
        <v>0.57028203565034108</v>
      </c>
      <c r="AG5" s="7">
        <f t="shared" si="23"/>
        <v>-4.0570091472547982E-2</v>
      </c>
      <c r="AH5" s="7">
        <f t="shared" si="23"/>
        <v>5.3840882324992276E-2</v>
      </c>
    </row>
    <row r="6" spans="1:34" x14ac:dyDescent="0.3">
      <c r="A6">
        <v>2004</v>
      </c>
      <c r="B6" s="1">
        <v>270791</v>
      </c>
      <c r="C6" s="1">
        <v>3.6874000000000007</v>
      </c>
      <c r="D6" s="1">
        <v>324488</v>
      </c>
      <c r="G6">
        <v>2004</v>
      </c>
      <c r="H6">
        <f t="shared" si="4"/>
        <v>3.6874000000000007</v>
      </c>
      <c r="I6">
        <f t="shared" si="5"/>
        <v>0.80104618656105331</v>
      </c>
      <c r="J6">
        <f t="shared" si="6"/>
        <v>338046.67513932561</v>
      </c>
      <c r="K6">
        <f t="shared" si="7"/>
        <v>0.95989111523212756</v>
      </c>
      <c r="L6">
        <f t="shared" si="8"/>
        <v>1.2722622352378288</v>
      </c>
      <c r="M6" s="3">
        <f t="shared" si="9"/>
        <v>48.313334409016051</v>
      </c>
      <c r="N6">
        <f t="shared" si="10"/>
        <v>37.974352355105992</v>
      </c>
      <c r="O6">
        <f t="shared" si="0"/>
        <v>0.34502962391870384</v>
      </c>
      <c r="P6" s="4">
        <f t="shared" si="1"/>
        <v>3.4808520348521204</v>
      </c>
      <c r="Q6" s="5">
        <f t="shared" si="11"/>
        <v>-0.79156602658788655</v>
      </c>
      <c r="R6" s="5">
        <f t="shared" si="12"/>
        <v>-1.6892737048967832</v>
      </c>
      <c r="S6">
        <f t="shared" si="2"/>
        <v>324488</v>
      </c>
      <c r="T6">
        <f t="shared" si="3"/>
        <v>270791</v>
      </c>
      <c r="U6">
        <v>284190</v>
      </c>
      <c r="V6">
        <v>259853</v>
      </c>
      <c r="W6">
        <f t="shared" si="13"/>
        <v>4.5368627107246589</v>
      </c>
      <c r="X6">
        <f t="shared" si="14"/>
        <v>4.5949369239484161</v>
      </c>
      <c r="Y6">
        <f t="shared" si="15"/>
        <v>3.1437300607403165</v>
      </c>
      <c r="Z6">
        <f t="shared" si="16"/>
        <v>5.3303830705482467</v>
      </c>
      <c r="AA6">
        <f t="shared" si="17"/>
        <v>3.4808520348521204</v>
      </c>
      <c r="AB6">
        <f t="shared" si="18"/>
        <v>-1.650368949452113</v>
      </c>
      <c r="AC6">
        <f t="shared" si="19"/>
        <v>0.53628406035581722</v>
      </c>
      <c r="AD6">
        <f t="shared" si="20"/>
        <v>-1.1140848890962958</v>
      </c>
      <c r="AE6">
        <f t="shared" si="21"/>
        <v>-0.75474661139632626</v>
      </c>
      <c r="AF6">
        <f t="shared" si="22"/>
        <v>0.24525338860367379</v>
      </c>
      <c r="AG6" s="7">
        <f t="shared" si="23"/>
        <v>0.59743177626366162</v>
      </c>
      <c r="AH6" s="7">
        <f t="shared" si="23"/>
        <v>-0.19413425032422493</v>
      </c>
    </row>
    <row r="7" spans="1:34" x14ac:dyDescent="0.3">
      <c r="A7">
        <v>2005</v>
      </c>
      <c r="B7" s="1">
        <v>286216</v>
      </c>
      <c r="C7" s="1">
        <v>3.4951185495118553</v>
      </c>
      <c r="D7" s="1">
        <v>336184</v>
      </c>
      <c r="G7">
        <v>2005</v>
      </c>
      <c r="H7">
        <f t="shared" si="4"/>
        <v>3.4951185495118553</v>
      </c>
      <c r="I7">
        <f t="shared" si="5"/>
        <v>0.80837239630090485</v>
      </c>
      <c r="J7">
        <f t="shared" si="6"/>
        <v>354064.53920212813</v>
      </c>
      <c r="K7">
        <f t="shared" si="7"/>
        <v>0.94949920926161857</v>
      </c>
      <c r="L7">
        <f t="shared" si="8"/>
        <v>1.3563902595578872</v>
      </c>
      <c r="M7" s="3">
        <f t="shared" si="9"/>
        <v>51.50804164748488</v>
      </c>
      <c r="N7">
        <f t="shared" si="10"/>
        <v>37.974352355105992</v>
      </c>
      <c r="O7">
        <f t="shared" si="0"/>
        <v>0.38808133124621141</v>
      </c>
      <c r="P7" s="4">
        <f t="shared" si="1"/>
        <v>3.5843605493785118</v>
      </c>
      <c r="Q7" s="5">
        <f t="shared" si="11"/>
        <v>-0.19228145048814538</v>
      </c>
      <c r="R7" s="5">
        <f t="shared" si="12"/>
        <v>0.10350851452639143</v>
      </c>
      <c r="S7">
        <f t="shared" si="2"/>
        <v>336184</v>
      </c>
      <c r="T7">
        <f t="shared" si="3"/>
        <v>286216</v>
      </c>
      <c r="U7">
        <v>324488</v>
      </c>
      <c r="V7">
        <v>270791</v>
      </c>
      <c r="W7">
        <f t="shared" si="13"/>
        <v>4.3002855716337773</v>
      </c>
      <c r="X7">
        <f t="shared" si="14"/>
        <v>3.3992259135238303</v>
      </c>
      <c r="Y7">
        <f t="shared" si="15"/>
        <v>3.1202377188253942</v>
      </c>
      <c r="Z7">
        <f t="shared" si="16"/>
        <v>3.9708283959472208</v>
      </c>
      <c r="AA7">
        <f t="shared" si="17"/>
        <v>3.5843605493785118</v>
      </c>
      <c r="AB7">
        <f t="shared" si="18"/>
        <v>-0.33272802063357254</v>
      </c>
      <c r="AC7">
        <f t="shared" si="19"/>
        <v>0.51786265648825403</v>
      </c>
      <c r="AD7">
        <f t="shared" si="20"/>
        <v>0.18513463585468148</v>
      </c>
      <c r="AE7">
        <f t="shared" si="21"/>
        <v>-0.39117289853144876</v>
      </c>
      <c r="AF7">
        <f t="shared" si="22"/>
        <v>0.60882710146855124</v>
      </c>
      <c r="AG7" s="7">
        <f t="shared" si="23"/>
        <v>7.5215292321279076E-2</v>
      </c>
      <c r="AH7" s="7">
        <f t="shared" si="23"/>
        <v>-0.1170661581668663</v>
      </c>
    </row>
    <row r="8" spans="1:34" x14ac:dyDescent="0.3">
      <c r="A8">
        <v>2006</v>
      </c>
      <c r="B8" s="1">
        <v>284661</v>
      </c>
      <c r="C8" s="1">
        <v>5.1895367847411444</v>
      </c>
      <c r="D8" s="1">
        <v>317775</v>
      </c>
      <c r="G8">
        <v>2006</v>
      </c>
      <c r="H8">
        <f t="shared" si="4"/>
        <v>5.1895367847411444</v>
      </c>
      <c r="I8">
        <f t="shared" si="5"/>
        <v>0.75583698444949521</v>
      </c>
      <c r="J8">
        <f t="shared" si="6"/>
        <v>376616.92382958665</v>
      </c>
      <c r="K8">
        <f t="shared" si="7"/>
        <v>0.84376187020153215</v>
      </c>
      <c r="L8">
        <f t="shared" si="8"/>
        <v>2.7164431093477028</v>
      </c>
      <c r="M8" s="3">
        <f t="shared" si="9"/>
        <v>103.15516778696936</v>
      </c>
      <c r="N8">
        <f t="shared" si="10"/>
        <v>37.974352355105992</v>
      </c>
      <c r="O8">
        <f t="shared" si="0"/>
        <v>0.52344616138667588</v>
      </c>
      <c r="P8" s="4">
        <f t="shared" si="1"/>
        <v>5.2577274362978095</v>
      </c>
      <c r="Q8" s="5">
        <f t="shared" si="11"/>
        <v>1.6944182352292891</v>
      </c>
      <c r="R8" s="5">
        <f t="shared" si="12"/>
        <v>1.6733668869192977</v>
      </c>
      <c r="S8">
        <f t="shared" si="2"/>
        <v>317775</v>
      </c>
      <c r="T8">
        <f t="shared" si="3"/>
        <v>284661</v>
      </c>
      <c r="U8">
        <v>336184</v>
      </c>
      <c r="V8">
        <v>286216</v>
      </c>
      <c r="W8">
        <f t="shared" si="13"/>
        <v>6.3850452689228279</v>
      </c>
      <c r="X8">
        <f t="shared" si="14"/>
        <v>4.3934168680308954</v>
      </c>
      <c r="Y8">
        <f t="shared" si="15"/>
        <v>5.3665661041238586</v>
      </c>
      <c r="Z8">
        <f t="shared" si="16"/>
        <v>4.3152690833280998</v>
      </c>
      <c r="AA8">
        <f t="shared" si="17"/>
        <v>5.2577274362978095</v>
      </c>
      <c r="AB8">
        <f t="shared" si="18"/>
        <v>0.95780379453133646</v>
      </c>
      <c r="AC8">
        <f t="shared" si="19"/>
        <v>-9.3493226264422358E-2</v>
      </c>
      <c r="AD8">
        <f t="shared" si="20"/>
        <v>0.8643105682669141</v>
      </c>
      <c r="AE8">
        <f t="shared" si="21"/>
        <v>0.91106868523830264</v>
      </c>
      <c r="AF8">
        <f t="shared" si="22"/>
        <v>-8.8931314761697397E-2</v>
      </c>
      <c r="AG8" s="7">
        <f t="shared" si="23"/>
        <v>1.5437313938141535</v>
      </c>
      <c r="AH8" s="7">
        <f t="shared" si="23"/>
        <v>-0.15068684141513575</v>
      </c>
    </row>
    <row r="9" spans="1:34" x14ac:dyDescent="0.3">
      <c r="A9">
        <v>2007</v>
      </c>
      <c r="B9" s="1">
        <v>323545</v>
      </c>
      <c r="C9" s="1">
        <v>6.8972477064220197</v>
      </c>
      <c r="D9" s="1">
        <v>364800</v>
      </c>
      <c r="G9">
        <v>2007</v>
      </c>
      <c r="H9">
        <f t="shared" si="4"/>
        <v>6.8972477064220197</v>
      </c>
      <c r="I9">
        <f t="shared" si="5"/>
        <v>0.72015355684685911</v>
      </c>
      <c r="J9">
        <f t="shared" si="6"/>
        <v>449272.23773859936</v>
      </c>
      <c r="K9">
        <f t="shared" si="7"/>
        <v>0.81197984063340245</v>
      </c>
      <c r="L9">
        <f t="shared" si="8"/>
        <v>3.404762183127084</v>
      </c>
      <c r="M9" s="3">
        <f t="shared" si="9"/>
        <v>129.29363882740779</v>
      </c>
      <c r="N9">
        <f t="shared" si="10"/>
        <v>37.974352355105992</v>
      </c>
      <c r="O9">
        <f t="shared" si="0"/>
        <v>0.49364069960209112</v>
      </c>
      <c r="P9" s="4">
        <f t="shared" si="1"/>
        <v>6.1046138980080125</v>
      </c>
      <c r="Q9" s="5">
        <f t="shared" si="11"/>
        <v>1.7077109216808752</v>
      </c>
      <c r="R9" s="5">
        <f t="shared" si="12"/>
        <v>0.84688646171020299</v>
      </c>
      <c r="S9">
        <f t="shared" si="2"/>
        <v>364800</v>
      </c>
      <c r="T9">
        <f t="shared" si="3"/>
        <v>323545</v>
      </c>
      <c r="U9">
        <v>317775</v>
      </c>
      <c r="V9">
        <v>284661</v>
      </c>
      <c r="W9">
        <f t="shared" si="13"/>
        <v>8.486159875765372</v>
      </c>
      <c r="X9">
        <f t="shared" si="14"/>
        <v>6.3575478118830144</v>
      </c>
      <c r="Y9">
        <f t="shared" si="15"/>
        <v>3.8880308475475811</v>
      </c>
      <c r="Z9">
        <f t="shared" si="16"/>
        <v>11.349189844450631</v>
      </c>
      <c r="AA9">
        <f t="shared" si="17"/>
        <v>6.1046138980080125</v>
      </c>
      <c r="AB9">
        <f t="shared" si="18"/>
        <v>-3.857046455389026</v>
      </c>
      <c r="AC9">
        <f t="shared" si="19"/>
        <v>3.604112541514024</v>
      </c>
      <c r="AD9">
        <f t="shared" si="20"/>
        <v>-0.25293391387500197</v>
      </c>
      <c r="AE9">
        <f t="shared" si="21"/>
        <v>-0.51695004180851722</v>
      </c>
      <c r="AF9">
        <f t="shared" si="22"/>
        <v>0.48304995819148278</v>
      </c>
      <c r="AG9" s="7">
        <f t="shared" si="23"/>
        <v>-0.88280123235978991</v>
      </c>
      <c r="AH9" s="7">
        <f t="shared" si="23"/>
        <v>0.82490968932108533</v>
      </c>
    </row>
    <row r="10" spans="1:34" x14ac:dyDescent="0.3">
      <c r="A10">
        <v>2008</v>
      </c>
      <c r="B10" s="1">
        <v>305006</v>
      </c>
      <c r="C10" s="1">
        <v>6.3273383084577102</v>
      </c>
      <c r="D10" s="1">
        <v>347510</v>
      </c>
      <c r="G10">
        <v>2008</v>
      </c>
      <c r="H10">
        <f t="shared" si="4"/>
        <v>6.3273383084577102</v>
      </c>
      <c r="I10">
        <f t="shared" si="5"/>
        <v>0.73078970484863404</v>
      </c>
      <c r="J10">
        <f t="shared" si="6"/>
        <v>417364.93819815764</v>
      </c>
      <c r="K10">
        <f t="shared" si="7"/>
        <v>0.83262863790203734</v>
      </c>
      <c r="L10">
        <f t="shared" si="8"/>
        <v>2.9371983092250233</v>
      </c>
      <c r="M10" s="3">
        <f t="shared" si="9"/>
        <v>111.5382035313326</v>
      </c>
      <c r="N10">
        <f t="shared" si="10"/>
        <v>37.974352355105992</v>
      </c>
      <c r="O10">
        <f t="shared" si="0"/>
        <v>0.46420756501970056</v>
      </c>
      <c r="P10" s="4">
        <f t="shared" si="1"/>
        <v>5.529337794415178</v>
      </c>
      <c r="Q10" s="5">
        <f t="shared" si="11"/>
        <v>-0.56990939796430951</v>
      </c>
      <c r="R10" s="5">
        <f t="shared" si="12"/>
        <v>-0.57527610359283443</v>
      </c>
      <c r="S10">
        <f t="shared" si="2"/>
        <v>347510</v>
      </c>
      <c r="T10">
        <f t="shared" si="3"/>
        <v>305006</v>
      </c>
      <c r="U10">
        <v>364800</v>
      </c>
      <c r="V10">
        <v>323545</v>
      </c>
      <c r="W10">
        <f t="shared" si="13"/>
        <v>7.7849610104088018</v>
      </c>
      <c r="X10">
        <f t="shared" si="14"/>
        <v>5.758473599553203</v>
      </c>
      <c r="Y10">
        <f t="shared" si="15"/>
        <v>7.0289222309866686</v>
      </c>
      <c r="Z10">
        <f t="shared" si="16"/>
        <v>4.6314664525347329</v>
      </c>
      <c r="AA10">
        <f t="shared" si="17"/>
        <v>5.529337794415178</v>
      </c>
      <c r="AB10">
        <f t="shared" si="18"/>
        <v>1.0841599866569553</v>
      </c>
      <c r="AC10">
        <f t="shared" si="19"/>
        <v>-1.3132957917949803</v>
      </c>
      <c r="AD10">
        <f t="shared" si="20"/>
        <v>-0.22913580513802501</v>
      </c>
      <c r="AE10">
        <f t="shared" si="21"/>
        <v>0.45221271499614885</v>
      </c>
      <c r="AF10">
        <f t="shared" si="22"/>
        <v>-0.54778728500385121</v>
      </c>
      <c r="AG10" s="7">
        <f t="shared" si="23"/>
        <v>-0.25772027615526105</v>
      </c>
      <c r="AH10" s="7">
        <f t="shared" si="23"/>
        <v>0.31218912180904845</v>
      </c>
    </row>
    <row r="11" spans="1:34" x14ac:dyDescent="0.3">
      <c r="A11" s="6">
        <v>2009</v>
      </c>
      <c r="B11" s="1">
        <v>331257</v>
      </c>
      <c r="C11" s="1">
        <v>5.4311965811965814</v>
      </c>
      <c r="D11" s="1">
        <v>374637</v>
      </c>
      <c r="G11" s="6">
        <v>2009</v>
      </c>
      <c r="H11">
        <f t="shared" si="4"/>
        <v>5.4311965811965814</v>
      </c>
      <c r="I11">
        <f t="shared" si="5"/>
        <v>0.75001122142016552</v>
      </c>
      <c r="J11">
        <f>B11/I11</f>
        <v>441669.391789574</v>
      </c>
      <c r="K11">
        <f t="shared" si="7"/>
        <v>0.84822948332921733</v>
      </c>
      <c r="L11">
        <f t="shared" si="8"/>
        <v>2.6333562996645581</v>
      </c>
      <c r="M11" s="3">
        <f t="shared" si="9"/>
        <v>100</v>
      </c>
      <c r="N11">
        <f t="shared" si="10"/>
        <v>37.974352355105992</v>
      </c>
      <c r="O11">
        <f t="shared" si="0"/>
        <v>0.48485748219490687</v>
      </c>
      <c r="P11" s="4">
        <f t="shared" si="1"/>
        <v>5.1555000000000035</v>
      </c>
      <c r="Q11" s="5">
        <f t="shared" si="11"/>
        <v>-0.89614172726112873</v>
      </c>
      <c r="R11" s="5">
        <f t="shared" si="12"/>
        <v>-0.37383779441517451</v>
      </c>
      <c r="S11">
        <f t="shared" si="2"/>
        <v>374637</v>
      </c>
      <c r="T11">
        <f t="shared" si="3"/>
        <v>331257</v>
      </c>
      <c r="U11">
        <v>347510</v>
      </c>
      <c r="V11">
        <v>305006</v>
      </c>
      <c r="W11">
        <f t="shared" si="13"/>
        <v>6.6823759949682744</v>
      </c>
      <c r="X11">
        <f t="shared" si="14"/>
        <v>5.0175094891703216</v>
      </c>
      <c r="Y11">
        <f t="shared" si="15"/>
        <v>3.9090326529353492</v>
      </c>
      <c r="Z11">
        <f t="shared" si="16"/>
        <v>6.9570581255281221</v>
      </c>
      <c r="AA11">
        <f t="shared" si="17"/>
        <v>5.1555000000000035</v>
      </c>
      <c r="AB11">
        <f t="shared" si="18"/>
        <v>-1.4550174808815455</v>
      </c>
      <c r="AC11">
        <f t="shared" si="19"/>
        <v>1.5930079917112274</v>
      </c>
      <c r="AD11">
        <f t="shared" si="20"/>
        <v>0.13799051082968194</v>
      </c>
      <c r="AE11">
        <f t="shared" si="21"/>
        <v>-0.47736395051969471</v>
      </c>
      <c r="AF11">
        <f t="shared" si="22"/>
        <v>0.52263604948030529</v>
      </c>
      <c r="AG11" s="7">
        <f t="shared" si="23"/>
        <v>0.42778575515091521</v>
      </c>
      <c r="AH11" s="7">
        <f t="shared" si="23"/>
        <v>-0.46835597211021351</v>
      </c>
    </row>
    <row r="12" spans="1:34" x14ac:dyDescent="0.3">
      <c r="A12">
        <v>2010</v>
      </c>
      <c r="B12" s="1">
        <v>331057</v>
      </c>
      <c r="C12" s="1">
        <v>7.8673212121212126</v>
      </c>
      <c r="D12" s="1">
        <v>359701</v>
      </c>
      <c r="G12">
        <v>2010</v>
      </c>
      <c r="H12">
        <f t="shared" si="4"/>
        <v>7.8673212121212126</v>
      </c>
      <c r="I12">
        <f t="shared" si="5"/>
        <v>0.70422174324276599</v>
      </c>
      <c r="J12">
        <f t="shared" si="6"/>
        <v>470103.34908940026</v>
      </c>
      <c r="K12">
        <f t="shared" si="7"/>
        <v>0.76515302581176703</v>
      </c>
      <c r="L12">
        <f t="shared" si="8"/>
        <v>4.8287367484821209</v>
      </c>
      <c r="M12" s="3">
        <f t="shared" si="9"/>
        <v>183.36815071690884</v>
      </c>
      <c r="N12">
        <f t="shared" si="10"/>
        <v>37.974352355105992</v>
      </c>
      <c r="O12">
        <f t="shared" si="0"/>
        <v>0.61377139922067336</v>
      </c>
      <c r="P12" s="4">
        <f t="shared" si="1"/>
        <v>7.8566280832278474</v>
      </c>
      <c r="Q12" s="5">
        <f t="shared" si="11"/>
        <v>2.4361246309246312</v>
      </c>
      <c r="R12" s="5">
        <f t="shared" si="12"/>
        <v>2.7011280832278439</v>
      </c>
      <c r="S12">
        <f t="shared" si="2"/>
        <v>359701</v>
      </c>
      <c r="T12">
        <f t="shared" si="3"/>
        <v>331057</v>
      </c>
      <c r="U12">
        <v>374637</v>
      </c>
      <c r="V12">
        <v>331257</v>
      </c>
      <c r="W12">
        <f t="shared" si="13"/>
        <v>9.6797082607164526</v>
      </c>
      <c r="X12">
        <f t="shared" si="14"/>
        <v>6.6087789756722204</v>
      </c>
      <c r="Y12">
        <f t="shared" si="15"/>
        <v>7.8777721114773147</v>
      </c>
      <c r="Z12">
        <f t="shared" si="16"/>
        <v>6.5921351826032586</v>
      </c>
      <c r="AA12">
        <f t="shared" si="17"/>
        <v>7.8566280832278474</v>
      </c>
      <c r="AB12">
        <f t="shared" si="18"/>
        <v>1.2667430182148416</v>
      </c>
      <c r="AC12">
        <f t="shared" si="19"/>
        <v>-1.889391065921453E-2</v>
      </c>
      <c r="AD12">
        <f t="shared" si="20"/>
        <v>1.2478491075556271</v>
      </c>
      <c r="AE12">
        <f t="shared" si="21"/>
        <v>0.9853038519391617</v>
      </c>
      <c r="AF12">
        <f t="shared" si="22"/>
        <v>-1.4696148060838271E-2</v>
      </c>
      <c r="AG12" s="7">
        <f t="shared" si="23"/>
        <v>2.4003229826539076</v>
      </c>
      <c r="AH12" s="7">
        <f t="shared" si="23"/>
        <v>-3.5801648270723366E-2</v>
      </c>
    </row>
    <row r="13" spans="1:34" x14ac:dyDescent="0.3">
      <c r="A13">
        <v>2011</v>
      </c>
      <c r="B13" s="1">
        <v>317057</v>
      </c>
      <c r="C13" s="1">
        <v>9.1153918128654965</v>
      </c>
      <c r="D13" s="1">
        <v>342179</v>
      </c>
      <c r="G13">
        <v>2011</v>
      </c>
      <c r="H13">
        <f t="shared" si="4"/>
        <v>9.1153918128654965</v>
      </c>
      <c r="I13">
        <f t="shared" si="5"/>
        <v>0.68681250207020872</v>
      </c>
      <c r="J13">
        <f t="shared" si="6"/>
        <v>461635.45224397961</v>
      </c>
      <c r="K13">
        <f t="shared" si="7"/>
        <v>0.74123206598776237</v>
      </c>
      <c r="L13">
        <f t="shared" si="8"/>
        <v>5.8207011382411284</v>
      </c>
      <c r="M13" s="3">
        <f t="shared" si="9"/>
        <v>221.0373559773351</v>
      </c>
      <c r="N13">
        <f t="shared" si="10"/>
        <v>37.974352355105992</v>
      </c>
      <c r="O13">
        <f t="shared" si="0"/>
        <v>0.63855742657444214</v>
      </c>
      <c r="P13" s="4">
        <f t="shared" si="1"/>
        <v>9.0771103336656598</v>
      </c>
      <c r="Q13" s="5">
        <f t="shared" si="11"/>
        <v>1.2480706007442839</v>
      </c>
      <c r="R13" s="5">
        <f t="shared" si="12"/>
        <v>1.2204822504378123</v>
      </c>
      <c r="S13">
        <f t="shared" si="2"/>
        <v>342179</v>
      </c>
      <c r="T13">
        <f t="shared" si="3"/>
        <v>317057</v>
      </c>
      <c r="U13">
        <v>359701</v>
      </c>
      <c r="V13">
        <v>331057</v>
      </c>
      <c r="W13">
        <f t="shared" si="13"/>
        <v>11.215295658033927</v>
      </c>
      <c r="X13">
        <f t="shared" si="14"/>
        <v>8.7991277087050257</v>
      </c>
      <c r="Y13">
        <f t="shared" si="15"/>
        <v>11.149621080362074</v>
      </c>
      <c r="Z13">
        <f t="shared" si="16"/>
        <v>7.2541628681542223</v>
      </c>
      <c r="AA13">
        <f t="shared" si="17"/>
        <v>9.0771103336656598</v>
      </c>
      <c r="AB13">
        <f t="shared" si="18"/>
        <v>2.086720418584243</v>
      </c>
      <c r="AC13">
        <f t="shared" si="19"/>
        <v>-1.8087377936236089</v>
      </c>
      <c r="AD13">
        <f t="shared" si="20"/>
        <v>0.27798262496063408</v>
      </c>
      <c r="AE13">
        <f t="shared" si="21"/>
        <v>0.53568035001498326</v>
      </c>
      <c r="AF13">
        <f t="shared" si="22"/>
        <v>-0.46431964998501674</v>
      </c>
      <c r="AG13" s="7">
        <f t="shared" si="23"/>
        <v>0.66856689625010846</v>
      </c>
      <c r="AH13" s="7">
        <f t="shared" si="23"/>
        <v>-0.57950370449417543</v>
      </c>
    </row>
    <row r="14" spans="1:34" x14ac:dyDescent="0.3">
      <c r="A14">
        <v>2012</v>
      </c>
      <c r="B14" s="1">
        <v>281518</v>
      </c>
      <c r="C14" s="1">
        <v>9.8552168949771701</v>
      </c>
      <c r="D14" s="1">
        <v>302377</v>
      </c>
      <c r="G14">
        <v>2012</v>
      </c>
      <c r="H14">
        <f t="shared" si="4"/>
        <v>9.8552168949771701</v>
      </c>
      <c r="I14">
        <f t="shared" si="5"/>
        <v>0.6777612705854319</v>
      </c>
      <c r="J14">
        <f t="shared" si="6"/>
        <v>415364.54238058242</v>
      </c>
      <c r="K14">
        <f t="shared" si="7"/>
        <v>0.72797980845207455</v>
      </c>
      <c r="L14">
        <f t="shared" si="8"/>
        <v>6.4723611573575681</v>
      </c>
      <c r="M14" s="3">
        <f t="shared" si="9"/>
        <v>245.78372315899787</v>
      </c>
      <c r="N14">
        <f t="shared" si="10"/>
        <v>37.974352355105992</v>
      </c>
      <c r="O14">
        <f t="shared" si="0"/>
        <v>0.6567446689738794</v>
      </c>
      <c r="P14" s="4">
        <f t="shared" si="1"/>
        <v>9.8788926303515296</v>
      </c>
      <c r="Q14" s="5">
        <f t="shared" si="11"/>
        <v>0.73982508211167364</v>
      </c>
      <c r="R14" s="5">
        <f t="shared" si="12"/>
        <v>0.80178229668586987</v>
      </c>
      <c r="S14">
        <f t="shared" si="2"/>
        <v>302377</v>
      </c>
      <c r="T14">
        <f t="shared" si="3"/>
        <v>281518</v>
      </c>
      <c r="U14">
        <v>342179</v>
      </c>
      <c r="V14">
        <v>317057</v>
      </c>
      <c r="W14">
        <f t="shared" si="13"/>
        <v>12.125553516549756</v>
      </c>
      <c r="X14">
        <f t="shared" si="14"/>
        <v>9.6583622493186905</v>
      </c>
      <c r="Y14">
        <f t="shared" si="15"/>
        <v>17.940975994552865</v>
      </c>
      <c r="Z14">
        <f t="shared" si="16"/>
        <v>5.763089437905613</v>
      </c>
      <c r="AA14">
        <f t="shared" si="17"/>
        <v>9.8788926303515296</v>
      </c>
      <c r="AB14">
        <f t="shared" si="18"/>
        <v>6.1992084688400455</v>
      </c>
      <c r="AC14">
        <f t="shared" si="19"/>
        <v>-5.9786780878072063</v>
      </c>
      <c r="AD14">
        <f t="shared" si="20"/>
        <v>0.22053038103283917</v>
      </c>
      <c r="AE14">
        <f t="shared" si="21"/>
        <v>0.50905454242848336</v>
      </c>
      <c r="AF14">
        <f t="shared" si="22"/>
        <v>-0.49094545757151664</v>
      </c>
      <c r="AG14" s="7">
        <f t="shared" si="23"/>
        <v>0.37661131865147313</v>
      </c>
      <c r="AH14" s="7">
        <f t="shared" si="23"/>
        <v>-0.36321376346020051</v>
      </c>
    </row>
    <row r="15" spans="1:34" x14ac:dyDescent="0.3">
      <c r="A15">
        <v>2013</v>
      </c>
      <c r="B15" s="1">
        <v>341792</v>
      </c>
      <c r="C15" s="1">
        <v>6.2861417322834638</v>
      </c>
      <c r="D15" s="1">
        <v>373084</v>
      </c>
      <c r="G15">
        <v>2013</v>
      </c>
      <c r="H15">
        <f t="shared" si="4"/>
        <v>6.2861417322834638</v>
      </c>
      <c r="I15">
        <f t="shared" si="5"/>
        <v>0.7316016753256972</v>
      </c>
      <c r="J15">
        <f t="shared" si="6"/>
        <v>467183.18386550952</v>
      </c>
      <c r="K15">
        <f t="shared" si="7"/>
        <v>0.79858182589765825</v>
      </c>
      <c r="L15">
        <f t="shared" si="8"/>
        <v>3.7548417097366378</v>
      </c>
      <c r="M15" s="3">
        <f t="shared" si="9"/>
        <v>142.58768212318768</v>
      </c>
      <c r="N15">
        <f t="shared" si="10"/>
        <v>37.974352355105992</v>
      </c>
      <c r="O15">
        <f t="shared" si="0"/>
        <v>0.59732056158598246</v>
      </c>
      <c r="P15" s="4">
        <f t="shared" si="1"/>
        <v>6.535340900791283</v>
      </c>
      <c r="Q15" s="5">
        <f t="shared" si="11"/>
        <v>-3.5690751626937063</v>
      </c>
      <c r="R15" s="5">
        <f t="shared" si="12"/>
        <v>-3.3435517295602466</v>
      </c>
      <c r="S15">
        <f t="shared" si="2"/>
        <v>373084</v>
      </c>
      <c r="T15">
        <f t="shared" si="3"/>
        <v>341792</v>
      </c>
      <c r="U15">
        <v>302377</v>
      </c>
      <c r="V15">
        <v>281518</v>
      </c>
      <c r="W15">
        <f t="shared" si="13"/>
        <v>7.7342740195061426</v>
      </c>
      <c r="X15">
        <f t="shared" si="14"/>
        <v>6.9949432306938366</v>
      </c>
      <c r="Y15">
        <f t="shared" si="15"/>
        <v>3.3912238905802816</v>
      </c>
      <c r="Z15">
        <f t="shared" si="16"/>
        <v>17.816997387278498</v>
      </c>
      <c r="AA15">
        <f t="shared" si="17"/>
        <v>6.535340900791283</v>
      </c>
      <c r="AB15">
        <f t="shared" si="18"/>
        <v>-7.4426879133003849</v>
      </c>
      <c r="AC15">
        <f t="shared" si="19"/>
        <v>6.9830855833978314</v>
      </c>
      <c r="AD15">
        <f t="shared" si="20"/>
        <v>-0.45960232990255356</v>
      </c>
      <c r="AE15">
        <f t="shared" si="21"/>
        <v>-0.51592990247655512</v>
      </c>
      <c r="AF15">
        <f t="shared" si="22"/>
        <v>0.48407009752344482</v>
      </c>
      <c r="AG15" s="7">
        <f t="shared" si="23"/>
        <v>1.8413926006200589</v>
      </c>
      <c r="AH15" s="7">
        <f t="shared" si="23"/>
        <v>-1.7276825620736471</v>
      </c>
    </row>
    <row r="16" spans="1:34" x14ac:dyDescent="0.3">
      <c r="A16">
        <v>2014</v>
      </c>
      <c r="B16" s="1">
        <v>349258</v>
      </c>
      <c r="C16" s="1">
        <v>5.1002200220022011</v>
      </c>
      <c r="D16" s="1">
        <v>393232</v>
      </c>
      <c r="G16">
        <v>2014</v>
      </c>
      <c r="H16">
        <f t="shared" si="4"/>
        <v>5.1002200220022011</v>
      </c>
      <c r="I16">
        <f t="shared" si="5"/>
        <v>0.75807100342453371</v>
      </c>
      <c r="J16">
        <f t="shared" si="6"/>
        <v>460719.3764466006</v>
      </c>
      <c r="K16">
        <f t="shared" si="7"/>
        <v>0.85351739063567977</v>
      </c>
      <c r="L16">
        <f t="shared" si="8"/>
        <v>2.5388269031658992</v>
      </c>
      <c r="M16" s="3">
        <f t="shared" si="9"/>
        <v>96.410307389444412</v>
      </c>
      <c r="N16">
        <f t="shared" si="10"/>
        <v>37.974352355105992</v>
      </c>
      <c r="O16">
        <f t="shared" si="0"/>
        <v>0.49778772135583871</v>
      </c>
      <c r="P16" s="4">
        <f t="shared" si="1"/>
        <v>5.0391939594180011</v>
      </c>
      <c r="Q16" s="5">
        <f t="shared" si="11"/>
        <v>-1.1859217102812627</v>
      </c>
      <c r="R16" s="5">
        <f t="shared" si="12"/>
        <v>-1.496146941373282</v>
      </c>
      <c r="S16">
        <f t="shared" si="2"/>
        <v>393232</v>
      </c>
      <c r="T16">
        <f t="shared" si="3"/>
        <v>349258</v>
      </c>
      <c r="U16">
        <v>373084</v>
      </c>
      <c r="V16">
        <v>341792</v>
      </c>
      <c r="W16">
        <f t="shared" si="13"/>
        <v>6.2751526914121269</v>
      </c>
      <c r="X16">
        <f t="shared" si="14"/>
        <v>5.6637777296720806</v>
      </c>
      <c r="Y16">
        <f t="shared" si="15"/>
        <v>4.6663424459735623</v>
      </c>
      <c r="Z16">
        <f t="shared" si="16"/>
        <v>6.1718224656997327</v>
      </c>
      <c r="AA16">
        <f t="shared" si="17"/>
        <v>5.0391939594180011</v>
      </c>
      <c r="AB16">
        <f t="shared" si="18"/>
        <v>-1.065031894990125</v>
      </c>
      <c r="AC16">
        <f t="shared" si="19"/>
        <v>0.44044812473604544</v>
      </c>
      <c r="AD16">
        <f t="shared" si="20"/>
        <v>-0.62458377025407952</v>
      </c>
      <c r="AE16">
        <f t="shared" si="21"/>
        <v>-0.70743675175698584</v>
      </c>
      <c r="AF16">
        <f t="shared" si="22"/>
        <v>0.29256324824301416</v>
      </c>
      <c r="AG16" s="7">
        <f t="shared" si="23"/>
        <v>0.8389646025594657</v>
      </c>
      <c r="AH16" s="7">
        <f t="shared" si="23"/>
        <v>-0.346957107721797</v>
      </c>
    </row>
    <row r="17" spans="1:34" x14ac:dyDescent="0.3">
      <c r="A17">
        <v>2015</v>
      </c>
      <c r="B17" s="1">
        <v>347073</v>
      </c>
      <c r="C17" s="1">
        <v>4.8848056155507571</v>
      </c>
      <c r="D17" s="1">
        <v>391196</v>
      </c>
      <c r="G17">
        <v>2015</v>
      </c>
      <c r="H17">
        <f t="shared" si="4"/>
        <v>4.8848056155507571</v>
      </c>
      <c r="I17">
        <f t="shared" si="5"/>
        <v>0.76365282262712231</v>
      </c>
      <c r="J17">
        <f t="shared" si="6"/>
        <v>454490.56130768656</v>
      </c>
      <c r="K17">
        <f t="shared" si="7"/>
        <v>0.86073514678594909</v>
      </c>
      <c r="L17">
        <f t="shared" si="8"/>
        <v>2.4161304025746491</v>
      </c>
      <c r="M17" s="3">
        <f t="shared" si="9"/>
        <v>91.750987243253803</v>
      </c>
      <c r="N17">
        <f t="shared" si="10"/>
        <v>37.974352355105992</v>
      </c>
      <c r="O17">
        <f t="shared" si="0"/>
        <v>0.49462160682155026</v>
      </c>
      <c r="P17" s="4">
        <f t="shared" si="1"/>
        <v>4.8882319866814212</v>
      </c>
      <c r="Q17" s="5">
        <f t="shared" si="11"/>
        <v>-0.21541440645144405</v>
      </c>
      <c r="R17" s="5">
        <f t="shared" si="12"/>
        <v>-0.15096197273657985</v>
      </c>
      <c r="S17">
        <f t="shared" si="2"/>
        <v>391196</v>
      </c>
      <c r="T17">
        <f t="shared" si="3"/>
        <v>347073</v>
      </c>
      <c r="U17">
        <v>393232</v>
      </c>
      <c r="V17">
        <v>349258</v>
      </c>
      <c r="W17">
        <f t="shared" si="13"/>
        <v>6.010113480048445</v>
      </c>
      <c r="X17">
        <f t="shared" si="14"/>
        <v>4.907260694323325</v>
      </c>
      <c r="Y17">
        <f t="shared" si="15"/>
        <v>5.0000250614872792</v>
      </c>
      <c r="Z17">
        <f t="shared" si="16"/>
        <v>4.7988296975135754</v>
      </c>
      <c r="AA17">
        <f t="shared" si="17"/>
        <v>4.8882319866814212</v>
      </c>
      <c r="AB17">
        <f t="shared" si="18"/>
        <v>9.1083328165900035E-2</v>
      </c>
      <c r="AC17">
        <f t="shared" si="19"/>
        <v>-0.11011203580780382</v>
      </c>
      <c r="AD17">
        <f t="shared" si="20"/>
        <v>-1.9028707641903786E-2</v>
      </c>
      <c r="AE17">
        <f t="shared" si="21"/>
        <v>0.45271086950991868</v>
      </c>
      <c r="AF17">
        <f t="shared" si="22"/>
        <v>-0.54728913049008132</v>
      </c>
      <c r="AG17" s="7">
        <f t="shared" si="23"/>
        <v>-9.7520443249596273E-2</v>
      </c>
      <c r="AH17" s="7">
        <f t="shared" si="23"/>
        <v>0.11789396320184778</v>
      </c>
    </row>
    <row r="18" spans="1:34" x14ac:dyDescent="0.3">
      <c r="A18">
        <v>2016</v>
      </c>
      <c r="B18" s="1">
        <v>372098</v>
      </c>
      <c r="C18" s="1">
        <v>4.5318406889128093</v>
      </c>
      <c r="D18" s="1">
        <v>430351</v>
      </c>
      <c r="G18">
        <v>2016</v>
      </c>
      <c r="H18">
        <f t="shared" si="4"/>
        <v>4.5318406889128093</v>
      </c>
      <c r="I18">
        <f t="shared" si="5"/>
        <v>0.77345190268138531</v>
      </c>
      <c r="J18">
        <f t="shared" si="6"/>
        <v>481087.44539902121</v>
      </c>
      <c r="K18">
        <f t="shared" si="7"/>
        <v>0.89453799743840823</v>
      </c>
      <c r="L18">
        <f t="shared" si="8"/>
        <v>1.9262514692192405</v>
      </c>
      <c r="M18" s="3">
        <f t="shared" si="9"/>
        <v>73.148152016672043</v>
      </c>
      <c r="N18">
        <f t="shared" si="10"/>
        <v>37.974352355105992</v>
      </c>
      <c r="O18">
        <f t="shared" si="0"/>
        <v>0.42504836366640852</v>
      </c>
      <c r="P18" s="4">
        <f t="shared" si="1"/>
        <v>4.2855001253401719</v>
      </c>
      <c r="Q18" s="5">
        <f t="shared" si="11"/>
        <v>-0.35296492663794776</v>
      </c>
      <c r="R18" s="5">
        <f t="shared" si="12"/>
        <v>-0.60273186134124934</v>
      </c>
      <c r="S18">
        <f t="shared" si="2"/>
        <v>430351</v>
      </c>
      <c r="T18">
        <f t="shared" si="3"/>
        <v>372098</v>
      </c>
      <c r="U18">
        <v>391196</v>
      </c>
      <c r="V18">
        <v>347073</v>
      </c>
      <c r="W18">
        <f t="shared" si="13"/>
        <v>5.5758363704705936</v>
      </c>
      <c r="X18">
        <f t="shared" si="14"/>
        <v>4.6734291449362058</v>
      </c>
      <c r="Y18">
        <f t="shared" si="15"/>
        <v>3.4890718181126839</v>
      </c>
      <c r="Z18">
        <f t="shared" si="16"/>
        <v>6.0692935186318016</v>
      </c>
      <c r="AA18">
        <f t="shared" si="17"/>
        <v>4.2855001253401719</v>
      </c>
      <c r="AB18">
        <f t="shared" si="18"/>
        <v>-1.4840753600575758</v>
      </c>
      <c r="AC18">
        <f t="shared" si="19"/>
        <v>1.0961463404615419</v>
      </c>
      <c r="AD18">
        <f t="shared" si="20"/>
        <v>-0.38792901959603387</v>
      </c>
      <c r="AE18">
        <f t="shared" si="21"/>
        <v>-0.57517358285878806</v>
      </c>
      <c r="AF18">
        <f t="shared" si="22"/>
        <v>0.42482641714121194</v>
      </c>
      <c r="AG18" s="7">
        <f t="shared" si="23"/>
        <v>0.20301610147783769</v>
      </c>
      <c r="AH18" s="7">
        <f t="shared" si="23"/>
        <v>-0.14994882516011007</v>
      </c>
    </row>
    <row r="19" spans="1:34" x14ac:dyDescent="0.3">
      <c r="A19">
        <v>2017</v>
      </c>
      <c r="B19" s="1">
        <v>375897</v>
      </c>
      <c r="C19" s="1">
        <v>4.4931483457844186</v>
      </c>
      <c r="D19" s="1">
        <v>430264</v>
      </c>
      <c r="G19">
        <v>2017</v>
      </c>
      <c r="H19">
        <f t="shared" si="4"/>
        <v>4.4931483457844186</v>
      </c>
      <c r="I19">
        <f t="shared" si="5"/>
        <v>0.77458016427697352</v>
      </c>
      <c r="J19">
        <f t="shared" si="6"/>
        <v>485291.2807945172</v>
      </c>
      <c r="K19">
        <f t="shared" si="7"/>
        <v>0.88660978885829822</v>
      </c>
      <c r="L19">
        <f t="shared" si="8"/>
        <v>2.0298117085255627</v>
      </c>
      <c r="M19" s="3">
        <f t="shared" si="9"/>
        <v>77.080785034069407</v>
      </c>
      <c r="N19">
        <f t="shared" si="10"/>
        <v>37.974352355105992</v>
      </c>
      <c r="O19">
        <f t="shared" si="0"/>
        <v>0.45175710933959773</v>
      </c>
      <c r="P19" s="4">
        <f t="shared" si="1"/>
        <v>4.4129174351038509</v>
      </c>
      <c r="Q19" s="5">
        <f t="shared" si="11"/>
        <v>-3.869234312839076E-2</v>
      </c>
      <c r="R19" s="5">
        <f t="shared" si="12"/>
        <v>0.12741730976367904</v>
      </c>
      <c r="S19">
        <f t="shared" si="2"/>
        <v>430264</v>
      </c>
      <c r="T19">
        <f t="shared" si="3"/>
        <v>375897</v>
      </c>
      <c r="U19">
        <v>430351</v>
      </c>
      <c r="V19">
        <v>372098</v>
      </c>
      <c r="W19">
        <f t="shared" si="13"/>
        <v>5.5282305103171634</v>
      </c>
      <c r="X19">
        <f t="shared" si="14"/>
        <v>4.2652653323810252</v>
      </c>
      <c r="Y19">
        <f t="shared" si="15"/>
        <v>4.2680615707327654</v>
      </c>
      <c r="Z19">
        <f t="shared" si="16"/>
        <v>4.4099490220772957</v>
      </c>
      <c r="AA19">
        <f t="shared" si="17"/>
        <v>4.4129174351038509</v>
      </c>
      <c r="AB19">
        <f t="shared" si="18"/>
        <v>2.8823256891477023E-3</v>
      </c>
      <c r="AC19">
        <f t="shared" si="19"/>
        <v>0.14476977703367799</v>
      </c>
      <c r="AD19">
        <f t="shared" si="20"/>
        <v>0.1476521027228257</v>
      </c>
      <c r="AE19">
        <f t="shared" si="21"/>
        <v>1.9521060899203302E-2</v>
      </c>
      <c r="AF19">
        <f t="shared" si="22"/>
        <v>0.98047893910079664</v>
      </c>
      <c r="AG19" s="7">
        <f t="shared" si="23"/>
        <v>-7.5531558654218646E-4</v>
      </c>
      <c r="AH19" s="7">
        <f t="shared" si="23"/>
        <v>-3.7937027541848571E-2</v>
      </c>
    </row>
    <row r="20" spans="1:34" x14ac:dyDescent="0.3">
      <c r="A20">
        <v>2018</v>
      </c>
      <c r="B20" s="1">
        <v>362041</v>
      </c>
      <c r="C20" s="1">
        <v>4.7614000000000001</v>
      </c>
      <c r="D20" s="1">
        <v>418864</v>
      </c>
      <c r="G20">
        <v>2018</v>
      </c>
      <c r="H20">
        <f t="shared" si="4"/>
        <v>4.7614000000000001</v>
      </c>
      <c r="I20">
        <f t="shared" si="5"/>
        <v>0.76698188472089623</v>
      </c>
      <c r="J20">
        <f t="shared" si="6"/>
        <v>472033.31292726198</v>
      </c>
      <c r="K20">
        <f t="shared" si="7"/>
        <v>0.88736110043264016</v>
      </c>
      <c r="L20">
        <f t="shared" si="8"/>
        <v>2.0197231541551948</v>
      </c>
      <c r="M20" s="3">
        <f t="shared" si="9"/>
        <v>76.697678715655414</v>
      </c>
      <c r="N20">
        <f t="shared" si="10"/>
        <v>37.974352355105992</v>
      </c>
      <c r="O20">
        <f t="shared" si="0"/>
        <v>0.42418682617616543</v>
      </c>
      <c r="P20" s="4">
        <f t="shared" si="1"/>
        <v>4.4005047903872345</v>
      </c>
      <c r="Q20" s="5">
        <f t="shared" si="11"/>
        <v>0.2682516542155815</v>
      </c>
      <c r="R20" s="5">
        <f t="shared" ref="R20:R27" si="24">P20-P19</f>
        <v>-1.2412644716616406E-2</v>
      </c>
      <c r="S20">
        <f t="shared" si="2"/>
        <v>418864</v>
      </c>
      <c r="T20">
        <f t="shared" si="3"/>
        <v>362041</v>
      </c>
      <c r="U20">
        <v>430264</v>
      </c>
      <c r="V20">
        <v>375897</v>
      </c>
      <c r="W20">
        <f t="shared" si="13"/>
        <v>5.8582790342366939</v>
      </c>
      <c r="X20">
        <f t="shared" si="14"/>
        <v>4.5620192022115393</v>
      </c>
      <c r="Y20">
        <f t="shared" si="15"/>
        <v>5.0148805267842889</v>
      </c>
      <c r="Z20">
        <f t="shared" si="16"/>
        <v>4.0374120525903736</v>
      </c>
      <c r="AA20">
        <f t="shared" si="17"/>
        <v>4.4005047903872345</v>
      </c>
      <c r="AB20">
        <f t="shared" si="18"/>
        <v>0.40797703118480522</v>
      </c>
      <c r="AC20">
        <f t="shared" si="19"/>
        <v>-0.56949144300911003</v>
      </c>
      <c r="AD20">
        <f t="shared" si="20"/>
        <v>-0.16151441182430482</v>
      </c>
      <c r="AE20">
        <f t="shared" si="21"/>
        <v>0.41738126799562503</v>
      </c>
      <c r="AF20">
        <f t="shared" si="22"/>
        <v>-0.58261873200437497</v>
      </c>
      <c r="AG20" s="7">
        <f t="shared" si="23"/>
        <v>0.11196321557842336</v>
      </c>
      <c r="AH20" s="7">
        <f t="shared" si="23"/>
        <v>-0.15628843863715813</v>
      </c>
    </row>
    <row r="21" spans="1:34" x14ac:dyDescent="0.3">
      <c r="A21">
        <v>2019</v>
      </c>
      <c r="B21" s="1">
        <v>351625</v>
      </c>
      <c r="C21" s="1">
        <v>4.6081404958677696</v>
      </c>
      <c r="D21" s="1">
        <v>402538</v>
      </c>
      <c r="G21">
        <v>2019</v>
      </c>
      <c r="H21">
        <f t="shared" si="4"/>
        <v>4.6081404958677696</v>
      </c>
      <c r="I21">
        <f t="shared" si="5"/>
        <v>0.77125968205589723</v>
      </c>
      <c r="J21">
        <f t="shared" si="6"/>
        <v>455909.99786569405</v>
      </c>
      <c r="K21">
        <f t="shared" si="7"/>
        <v>0.88293303916222332</v>
      </c>
      <c r="L21">
        <f t="shared" si="8"/>
        <v>2.0800412659060266</v>
      </c>
      <c r="M21" s="3">
        <f t="shared" si="9"/>
        <v>78.98821994467616</v>
      </c>
      <c r="N21">
        <f t="shared" si="10"/>
        <v>37.974352355105992</v>
      </c>
      <c r="O21">
        <f t="shared" si="0"/>
        <v>0.45138408166401423</v>
      </c>
      <c r="P21" s="4">
        <f t="shared" si="1"/>
        <v>4.4747183262075101</v>
      </c>
      <c r="Q21" s="5">
        <f t="shared" si="11"/>
        <v>-0.15325950413223044</v>
      </c>
      <c r="R21" s="5">
        <f t="shared" si="24"/>
        <v>7.4213535820275567E-2</v>
      </c>
      <c r="S21">
        <f t="shared" si="2"/>
        <v>402538</v>
      </c>
      <c r="T21">
        <f t="shared" si="3"/>
        <v>351625</v>
      </c>
      <c r="U21">
        <v>418864</v>
      </c>
      <c r="V21">
        <v>362041</v>
      </c>
      <c r="W21">
        <f t="shared" si="13"/>
        <v>5.6697132888980635</v>
      </c>
      <c r="X21">
        <f t="shared" si="14"/>
        <v>4.3205176853464984</v>
      </c>
      <c r="Y21">
        <f t="shared" si="15"/>
        <v>4.9541723221861718</v>
      </c>
      <c r="Z21">
        <f t="shared" si="16"/>
        <v>3.9410442780891026</v>
      </c>
      <c r="AA21">
        <f t="shared" si="17"/>
        <v>4.4747183262075101</v>
      </c>
      <c r="AB21">
        <f t="shared" si="18"/>
        <v>0.58366434247904042</v>
      </c>
      <c r="AC21">
        <f t="shared" si="19"/>
        <v>-0.42946370161802871</v>
      </c>
      <c r="AD21">
        <f t="shared" si="20"/>
        <v>0.15420064086101171</v>
      </c>
      <c r="AE21">
        <f t="shared" si="21"/>
        <v>0.57610125973683812</v>
      </c>
      <c r="AF21">
        <f t="shared" si="22"/>
        <v>-0.42389874026316188</v>
      </c>
      <c r="AG21" s="7">
        <f t="shared" si="23"/>
        <v>-8.8292993397221103E-2</v>
      </c>
      <c r="AH21" s="7">
        <f t="shared" si="23"/>
        <v>6.4966510735009336E-2</v>
      </c>
    </row>
    <row r="22" spans="1:34" x14ac:dyDescent="0.3">
      <c r="A22">
        <v>2020</v>
      </c>
      <c r="B22" s="1">
        <v>377990</v>
      </c>
      <c r="C22" s="1">
        <v>5.6760900000000012</v>
      </c>
      <c r="D22" s="1">
        <v>409348</v>
      </c>
      <c r="G22">
        <v>2020</v>
      </c>
      <c r="H22">
        <f t="shared" si="4"/>
        <v>5.6760900000000012</v>
      </c>
      <c r="I22">
        <f t="shared" si="5"/>
        <v>0.74440901443675067</v>
      </c>
      <c r="J22">
        <f t="shared" si="6"/>
        <v>507771.92735367693</v>
      </c>
      <c r="K22">
        <f t="shared" si="7"/>
        <v>0.80616508701726242</v>
      </c>
      <c r="L22">
        <f t="shared" si="8"/>
        <v>3.5517888623292113</v>
      </c>
      <c r="M22" s="3">
        <f t="shared" si="9"/>
        <v>134.8768817490305</v>
      </c>
      <c r="N22">
        <f t="shared" si="10"/>
        <v>37.974352355105992</v>
      </c>
      <c r="O22">
        <f t="shared" si="0"/>
        <v>0.62574569154633053</v>
      </c>
      <c r="P22" s="4">
        <f t="shared" si="1"/>
        <v>6.2855109686685893</v>
      </c>
      <c r="Q22" s="5">
        <f t="shared" si="11"/>
        <v>1.0679495041322316</v>
      </c>
      <c r="R22" s="5">
        <f t="shared" si="24"/>
        <v>1.8107926424610792</v>
      </c>
      <c r="S22">
        <f t="shared" si="2"/>
        <v>409348</v>
      </c>
      <c r="T22">
        <f t="shared" si="3"/>
        <v>377990</v>
      </c>
      <c r="U22">
        <v>402538</v>
      </c>
      <c r="V22">
        <v>351625</v>
      </c>
      <c r="W22">
        <f t="shared" si="13"/>
        <v>6.9836852697611125</v>
      </c>
      <c r="X22">
        <f t="shared" si="14"/>
        <v>5.0678243621216232</v>
      </c>
      <c r="Y22">
        <f t="shared" si="15"/>
        <v>4.7715994115670544</v>
      </c>
      <c r="Z22">
        <f t="shared" si="16"/>
        <v>6.7387536947004989</v>
      </c>
      <c r="AA22">
        <f t="shared" si="17"/>
        <v>6.2855109686685893</v>
      </c>
      <c r="AB22">
        <f t="shared" si="18"/>
        <v>-0.37473383829323925</v>
      </c>
      <c r="AC22">
        <f t="shared" si="19"/>
        <v>1.5924204448402053</v>
      </c>
      <c r="AD22">
        <f t="shared" si="20"/>
        <v>1.217686606546966</v>
      </c>
      <c r="AE22">
        <f t="shared" si="21"/>
        <v>-0.19049539810183697</v>
      </c>
      <c r="AF22">
        <f t="shared" si="22"/>
        <v>0.80950460189816298</v>
      </c>
      <c r="AG22" s="7">
        <f t="shared" si="23"/>
        <v>-0.20343946594232884</v>
      </c>
      <c r="AH22" s="7">
        <f t="shared" si="23"/>
        <v>0.86451003818990269</v>
      </c>
    </row>
    <row r="23" spans="1:34" x14ac:dyDescent="0.3">
      <c r="A23">
        <v>2021</v>
      </c>
      <c r="B23" s="1">
        <v>378467</v>
      </c>
      <c r="C23" s="1">
        <v>7.2427745664739902</v>
      </c>
      <c r="D23" s="1">
        <v>413442</v>
      </c>
      <c r="G23">
        <v>2021</v>
      </c>
      <c r="H23">
        <f t="shared" si="4"/>
        <v>7.2427745664739902</v>
      </c>
      <c r="I23">
        <f t="shared" si="5"/>
        <v>0.71419393114990859</v>
      </c>
      <c r="J23">
        <f t="shared" si="6"/>
        <v>529921.89305030671</v>
      </c>
      <c r="K23">
        <f t="shared" si="7"/>
        <v>0.78019422375657732</v>
      </c>
      <c r="L23">
        <f t="shared" si="8"/>
        <v>4.3062732537205113</v>
      </c>
      <c r="M23" s="3">
        <f t="shared" si="9"/>
        <v>163.52793787415143</v>
      </c>
      <c r="N23">
        <f t="shared" si="10"/>
        <v>37.974352355105992</v>
      </c>
      <c r="O23">
        <f t="shared" si="0"/>
        <v>0.59456127126388547</v>
      </c>
      <c r="P23" s="4">
        <f t="shared" si="1"/>
        <v>7.2138051871225075</v>
      </c>
      <c r="Q23" s="5">
        <f t="shared" si="11"/>
        <v>1.566684566473989</v>
      </c>
      <c r="R23" s="5">
        <f t="shared" si="24"/>
        <v>0.92829421845391824</v>
      </c>
      <c r="S23">
        <f t="shared" si="2"/>
        <v>413442</v>
      </c>
      <c r="T23">
        <f t="shared" si="3"/>
        <v>378467</v>
      </c>
      <c r="U23">
        <v>409348</v>
      </c>
      <c r="V23">
        <v>377990</v>
      </c>
      <c r="W23">
        <f t="shared" si="13"/>
        <v>8.9112854186746198</v>
      </c>
      <c r="X23">
        <f t="shared" si="14"/>
        <v>7.4916984568752811</v>
      </c>
      <c r="Y23">
        <f t="shared" si="15"/>
        <v>7.1746452191951597</v>
      </c>
      <c r="Z23">
        <f t="shared" si="16"/>
        <v>7.5332192256745083</v>
      </c>
      <c r="AA23">
        <f t="shared" si="17"/>
        <v>7.2138051871225075</v>
      </c>
      <c r="AB23">
        <f t="shared" si="18"/>
        <v>-0.31823363811606109</v>
      </c>
      <c r="AC23">
        <f t="shared" si="19"/>
        <v>4.0340368363287471E-2</v>
      </c>
      <c r="AD23">
        <f t="shared" si="20"/>
        <v>-0.27789326975277362</v>
      </c>
      <c r="AE23">
        <f t="shared" si="21"/>
        <v>-0.88749778948181846</v>
      </c>
      <c r="AF23">
        <f t="shared" si="22"/>
        <v>0.11250221051818156</v>
      </c>
      <c r="AG23" s="7">
        <f t="shared" si="23"/>
        <v>-1.3904290895609464</v>
      </c>
      <c r="AH23" s="7">
        <f t="shared" si="23"/>
        <v>0.17625547691304272</v>
      </c>
    </row>
    <row r="24" spans="1:34" x14ac:dyDescent="0.3">
      <c r="A24">
        <v>2022</v>
      </c>
      <c r="B24" s="1">
        <v>348145</v>
      </c>
      <c r="C24" s="1">
        <v>7.2008963093145875</v>
      </c>
      <c r="D24" s="1">
        <v>382696</v>
      </c>
      <c r="G24">
        <v>2022</v>
      </c>
      <c r="H24">
        <f t="shared" si="4"/>
        <v>7.2008963093145875</v>
      </c>
      <c r="I24">
        <f t="shared" si="5"/>
        <v>0.71489833445931716</v>
      </c>
      <c r="J24">
        <f t="shared" si="6"/>
        <v>486985.32814921805</v>
      </c>
      <c r="K24">
        <f t="shared" si="7"/>
        <v>0.78584708384220037</v>
      </c>
      <c r="L24">
        <f t="shared" si="8"/>
        <v>4.1272288768587657</v>
      </c>
      <c r="M24" s="3">
        <f t="shared" si="9"/>
        <v>156.72884362000312</v>
      </c>
      <c r="N24">
        <f t="shared" si="10"/>
        <v>37.974352355105992</v>
      </c>
      <c r="O24">
        <f t="shared" si="0"/>
        <v>0.57315488233319889</v>
      </c>
      <c r="P24" s="4">
        <f t="shared" si="1"/>
        <v>6.9935145332881046</v>
      </c>
      <c r="Q24" s="5">
        <f t="shared" si="11"/>
        <v>-4.1878257159402743E-2</v>
      </c>
      <c r="R24" s="5">
        <f t="shared" si="24"/>
        <v>-0.22029065383440294</v>
      </c>
      <c r="S24">
        <f t="shared" si="2"/>
        <v>382696</v>
      </c>
      <c r="T24">
        <f t="shared" si="3"/>
        <v>348145</v>
      </c>
      <c r="U24">
        <v>413442</v>
      </c>
      <c r="V24">
        <v>378467</v>
      </c>
      <c r="W24">
        <f t="shared" si="13"/>
        <v>8.85975970860882</v>
      </c>
      <c r="X24">
        <f t="shared" si="14"/>
        <v>7.183169995443011</v>
      </c>
      <c r="Y24">
        <f t="shared" si="15"/>
        <v>10.214662442291285</v>
      </c>
      <c r="Z24">
        <f t="shared" si="16"/>
        <v>5.1386330546218559</v>
      </c>
      <c r="AA24">
        <f t="shared" si="17"/>
        <v>6.9935145332881046</v>
      </c>
      <c r="AB24">
        <f t="shared" si="18"/>
        <v>2.4431869627572613</v>
      </c>
      <c r="AC24">
        <f t="shared" si="19"/>
        <v>-2.6328424249121678</v>
      </c>
      <c r="AD24">
        <f t="shared" si="20"/>
        <v>-0.18965546215490647</v>
      </c>
      <c r="AE24">
        <f t="shared" si="21"/>
        <v>0.48131852205036352</v>
      </c>
      <c r="AF24">
        <f t="shared" si="22"/>
        <v>-0.51868147794963648</v>
      </c>
      <c r="AG24" s="7">
        <f t="shared" si="23"/>
        <v>-2.0156780842008785E-2</v>
      </c>
      <c r="AH24" s="7">
        <f t="shared" si="23"/>
        <v>2.1721476317393958E-2</v>
      </c>
    </row>
    <row r="25" spans="1:34" x14ac:dyDescent="0.3">
      <c r="A25">
        <v>2023</v>
      </c>
      <c r="B25" s="1">
        <v>380148</v>
      </c>
      <c r="C25" s="1">
        <v>4.7430532445923461</v>
      </c>
      <c r="D25" s="1">
        <v>424940</v>
      </c>
      <c r="G25">
        <v>2023</v>
      </c>
      <c r="H25">
        <f t="shared" si="4"/>
        <v>4.7430532445923461</v>
      </c>
      <c r="I25">
        <f t="shared" si="5"/>
        <v>0.76748543080163178</v>
      </c>
      <c r="J25">
        <f t="shared" si="6"/>
        <v>495316.24281510955</v>
      </c>
      <c r="K25">
        <f t="shared" si="7"/>
        <v>0.85791654556868746</v>
      </c>
      <c r="L25">
        <f t="shared" si="8"/>
        <v>2.4632003834625564</v>
      </c>
      <c r="M25" s="3">
        <f t="shared" si="9"/>
        <v>93.538439282839306</v>
      </c>
      <c r="N25">
        <f t="shared" si="10"/>
        <v>37.974352355105992</v>
      </c>
      <c r="O25">
        <f t="shared" si="0"/>
        <v>0.51932800591494588</v>
      </c>
      <c r="P25" s="4">
        <f t="shared" si="1"/>
        <v>4.9461454327639949</v>
      </c>
      <c r="Q25" s="5">
        <f t="shared" si="11"/>
        <v>-2.4578430647222413</v>
      </c>
      <c r="R25" s="5">
        <f t="shared" si="24"/>
        <v>-2.0473691005241097</v>
      </c>
      <c r="S25">
        <f t="shared" si="2"/>
        <v>424940</v>
      </c>
      <c r="T25">
        <f t="shared" si="3"/>
        <v>380148</v>
      </c>
      <c r="U25">
        <v>382696</v>
      </c>
      <c r="V25">
        <v>348145</v>
      </c>
      <c r="W25">
        <f t="shared" si="13"/>
        <v>5.8357057548333824</v>
      </c>
      <c r="X25">
        <f t="shared" si="14"/>
        <v>5.2602632452426992</v>
      </c>
      <c r="Y25">
        <f t="shared" si="15"/>
        <v>3.7221460855415947</v>
      </c>
      <c r="Z25">
        <f t="shared" si="16"/>
        <v>7.526334094178913</v>
      </c>
      <c r="AA25">
        <f t="shared" si="17"/>
        <v>4.9461454327639949</v>
      </c>
      <c r="AB25">
        <f t="shared" si="18"/>
        <v>-2.0591529105580113</v>
      </c>
      <c r="AC25">
        <f t="shared" si="19"/>
        <v>1.745035098079307</v>
      </c>
      <c r="AD25">
        <f t="shared" si="20"/>
        <v>-0.31411781247870429</v>
      </c>
      <c r="AE25">
        <f t="shared" si="21"/>
        <v>-0.54128578973561603</v>
      </c>
      <c r="AF25">
        <f t="shared" si="22"/>
        <v>0.45871421026438397</v>
      </c>
      <c r="AG25" s="7">
        <f t="shared" si="23"/>
        <v>1.3303955243343852</v>
      </c>
      <c r="AH25" s="7">
        <f t="shared" si="23"/>
        <v>-1.1274475403878561</v>
      </c>
    </row>
    <row r="26" spans="1:34" x14ac:dyDescent="0.3">
      <c r="A26">
        <v>2024</v>
      </c>
      <c r="B26" s="1">
        <v>384705</v>
      </c>
      <c r="C26" s="1">
        <v>4.3227990235964207</v>
      </c>
      <c r="D26" s="1">
        <v>423610</v>
      </c>
      <c r="G26">
        <v>2024</v>
      </c>
      <c r="H26">
        <f t="shared" si="4"/>
        <v>4.3227990235964207</v>
      </c>
      <c r="I26">
        <f t="shared" si="5"/>
        <v>0.77968637033080779</v>
      </c>
      <c r="J26">
        <f t="shared" si="6"/>
        <v>493409.93332585273</v>
      </c>
      <c r="K26">
        <f t="shared" si="7"/>
        <v>0.85853561387513422</v>
      </c>
      <c r="L26">
        <f t="shared" si="8"/>
        <v>2.4527708077239434</v>
      </c>
      <c r="M26" s="3">
        <f t="shared" si="9"/>
        <v>93.142382898826938</v>
      </c>
      <c r="N26">
        <f t="shared" si="10"/>
        <v>37.974352355105992</v>
      </c>
      <c r="O26">
        <f t="shared" si="0"/>
        <v>0.56740338709601235</v>
      </c>
      <c r="P26" s="4">
        <f t="shared" si="1"/>
        <v>4.9333132059219942</v>
      </c>
      <c r="Q26" s="5">
        <f t="shared" si="11"/>
        <v>-0.42025422099592546</v>
      </c>
      <c r="R26" s="5">
        <f t="shared" si="24"/>
        <v>-1.2832226842000694E-2</v>
      </c>
      <c r="S26">
        <f t="shared" si="2"/>
        <v>423610</v>
      </c>
      <c r="T26">
        <f t="shared" si="3"/>
        <v>384705</v>
      </c>
      <c r="U26">
        <v>424940</v>
      </c>
      <c r="V26">
        <v>380148</v>
      </c>
      <c r="W26">
        <f t="shared" si="13"/>
        <v>5.3186379823484193</v>
      </c>
      <c r="X26">
        <f t="shared" si="14"/>
        <v>4.6776176575564961</v>
      </c>
      <c r="Y26">
        <f t="shared" si="15"/>
        <v>4.7290229822532055</v>
      </c>
      <c r="Z26">
        <f t="shared" si="16"/>
        <v>4.8781753347537231</v>
      </c>
      <c r="AA26">
        <f t="shared" si="17"/>
        <v>4.9333132059219942</v>
      </c>
      <c r="AB26">
        <f t="shared" si="18"/>
        <v>5.3271597932490256E-2</v>
      </c>
      <c r="AC26">
        <f t="shared" si="19"/>
        <v>0.20242395043300787</v>
      </c>
      <c r="AD26">
        <f t="shared" si="20"/>
        <v>0.25569554836549813</v>
      </c>
      <c r="AE26">
        <f t="shared" si="21"/>
        <v>0.20833995066798111</v>
      </c>
      <c r="AF26">
        <f t="shared" si="22"/>
        <v>0.79166004933201894</v>
      </c>
      <c r="AG26" s="7">
        <f t="shared" si="23"/>
        <v>-8.7555743670301944E-2</v>
      </c>
      <c r="AH26" s="7">
        <f t="shared" si="23"/>
        <v>-0.33269847732562352</v>
      </c>
    </row>
    <row r="27" spans="1:34" x14ac:dyDescent="0.3">
      <c r="A27">
        <v>2025</v>
      </c>
      <c r="B27" s="1">
        <v>413531</v>
      </c>
      <c r="C27" s="1">
        <v>4</v>
      </c>
      <c r="D27" s="1">
        <v>465065</v>
      </c>
      <c r="G27">
        <v>2025</v>
      </c>
      <c r="H27">
        <f t="shared" si="4"/>
        <v>4</v>
      </c>
      <c r="I27">
        <f t="shared" si="5"/>
        <v>0.79004131186337712</v>
      </c>
      <c r="J27">
        <f t="shared" si="6"/>
        <v>523429.59006112389</v>
      </c>
      <c r="K27">
        <f t="shared" si="7"/>
        <v>0.88849581458643112</v>
      </c>
      <c r="L27">
        <f t="shared" si="8"/>
        <v>2.004597291624906</v>
      </c>
      <c r="M27" s="3">
        <f t="shared" si="9"/>
        <v>76.123283882255336</v>
      </c>
      <c r="N27">
        <f t="shared" si="10"/>
        <v>37.974352355105992</v>
      </c>
      <c r="O27">
        <f t="shared" si="0"/>
        <v>0.50114932290622616</v>
      </c>
      <c r="P27" s="4">
        <f t="shared" si="1"/>
        <v>4.3818943977850715</v>
      </c>
      <c r="Q27" s="5">
        <f t="shared" si="11"/>
        <v>-0.32279902359642065</v>
      </c>
      <c r="R27" s="5">
        <f t="shared" si="24"/>
        <v>-0.55141880813692268</v>
      </c>
      <c r="S27">
        <f t="shared" si="2"/>
        <v>465065</v>
      </c>
      <c r="T27">
        <f t="shared" si="3"/>
        <v>413531</v>
      </c>
      <c r="U27">
        <v>423610</v>
      </c>
      <c r="V27">
        <v>384705</v>
      </c>
      <c r="W27">
        <f t="shared" si="13"/>
        <v>4.9214760652217366</v>
      </c>
      <c r="X27">
        <f t="shared" si="14"/>
        <v>4.7079621889187688</v>
      </c>
      <c r="Y27">
        <f t="shared" si="15"/>
        <v>3.527900312574654</v>
      </c>
      <c r="Z27">
        <f t="shared" si="16"/>
        <v>6.1869659908359473</v>
      </c>
      <c r="AA27">
        <f t="shared" si="17"/>
        <v>4.3818943977850715</v>
      </c>
      <c r="AB27">
        <f t="shared" si="18"/>
        <v>-1.4925667346974953</v>
      </c>
      <c r="AC27">
        <f t="shared" si="19"/>
        <v>1.166498943563798</v>
      </c>
      <c r="AD27">
        <f t="shared" si="20"/>
        <v>-0.32606779113369733</v>
      </c>
      <c r="AE27">
        <f t="shared" si="21"/>
        <v>-0.56131247411438634</v>
      </c>
      <c r="AF27">
        <f t="shared" si="22"/>
        <v>0.43868752588561366</v>
      </c>
      <c r="AG27" s="7">
        <f t="shared" si="23"/>
        <v>0.18119111857661505</v>
      </c>
      <c r="AH27" s="7">
        <f t="shared" si="23"/>
        <v>-0.14160790501980561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4325-5F59-4705-9F92-15E73264F344}">
  <dimension ref="A1:AF27"/>
  <sheetViews>
    <sheetView workbookViewId="0"/>
  </sheetViews>
  <sheetFormatPr defaultRowHeight="14.4" x14ac:dyDescent="0.3"/>
  <cols>
    <col min="16" max="16" width="10.33203125" customWidth="1"/>
    <col min="24" max="24" width="12" bestFit="1" customWidth="1"/>
    <col min="25" max="25" width="11" bestFit="1" customWidth="1"/>
    <col min="29" max="29" width="12.6640625" bestFit="1" customWidth="1"/>
    <col min="30" max="30" width="12.88671875" bestFit="1" customWidth="1"/>
  </cols>
  <sheetData>
    <row r="1" spans="1:32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>
        <v>-0.17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23</v>
      </c>
      <c r="P1" s="2" t="s">
        <v>24</v>
      </c>
      <c r="Q1" s="2" t="s">
        <v>12</v>
      </c>
      <c r="R1" s="2" t="s">
        <v>13</v>
      </c>
      <c r="S1" s="2" t="s">
        <v>14</v>
      </c>
      <c r="T1" s="2" t="s">
        <v>25</v>
      </c>
      <c r="U1" s="2" t="s">
        <v>47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8</v>
      </c>
      <c r="AB1" s="2" t="s">
        <v>49</v>
      </c>
      <c r="AC1" s="2" t="s">
        <v>45</v>
      </c>
      <c r="AD1" s="2" t="s">
        <v>46</v>
      </c>
    </row>
    <row r="2" spans="1:32" x14ac:dyDescent="0.3">
      <c r="A2">
        <v>2000</v>
      </c>
      <c r="B2" s="1">
        <v>9740.2337200000002</v>
      </c>
      <c r="C2" s="1">
        <v>3.6736133122028529</v>
      </c>
      <c r="D2" s="1">
        <v>11639.34604</v>
      </c>
      <c r="E2" t="s">
        <v>20</v>
      </c>
      <c r="F2">
        <f>1/F1</f>
        <v>-5.8823529411764701</v>
      </c>
      <c r="G2">
        <v>2000</v>
      </c>
      <c r="H2">
        <f>C2</f>
        <v>3.6736133122028529</v>
      </c>
      <c r="I2">
        <f>H2^$F$1</f>
        <v>0.8015564537064388</v>
      </c>
      <c r="J2">
        <f>B2/I2</f>
        <v>12151.65029856681</v>
      </c>
      <c r="K2">
        <f>D2/J2</f>
        <v>0.95784076681113572</v>
      </c>
      <c r="L2">
        <f>K2^$F$2</f>
        <v>1.2883661645613214</v>
      </c>
      <c r="M2" s="3">
        <f>100*L2/$L$11</f>
        <v>48.924870695448078</v>
      </c>
      <c r="N2">
        <f>100*$K$11^-$F$2</f>
        <v>37.974352355105992</v>
      </c>
      <c r="O2">
        <f>D2</f>
        <v>11639.34604</v>
      </c>
      <c r="P2">
        <f>B2</f>
        <v>9740.2337200000002</v>
      </c>
      <c r="Q2">
        <f>(D2/B2)^$F$2</f>
        <v>0.35070815980595504</v>
      </c>
      <c r="R2" s="4">
        <f>$F$3+$F$4*(N2*H2)*Q2</f>
        <v>3.500665810532519</v>
      </c>
    </row>
    <row r="3" spans="1:32" x14ac:dyDescent="0.3">
      <c r="A3">
        <v>2001</v>
      </c>
      <c r="B3" s="1">
        <v>9815.3872319999991</v>
      </c>
      <c r="C3" s="1">
        <v>3.7917204301075276</v>
      </c>
      <c r="D3" s="1">
        <v>11411.799000000001</v>
      </c>
      <c r="E3" t="s">
        <v>21</v>
      </c>
      <c r="F3" s="1">
        <v>1.9155</v>
      </c>
      <c r="G3">
        <v>2001</v>
      </c>
      <c r="H3">
        <f t="shared" ref="H3:H27" si="0">C3</f>
        <v>3.7917204301075276</v>
      </c>
      <c r="I3">
        <f t="shared" ref="I3:I27" si="1">H3^$F$1</f>
        <v>0.79725605726351467</v>
      </c>
      <c r="J3">
        <f t="shared" ref="J3:J27" si="2">B3/I3</f>
        <v>12311.461471600645</v>
      </c>
      <c r="K3">
        <f t="shared" ref="K3:K27" si="3">D3/J3</f>
        <v>0.92692480306453195</v>
      </c>
      <c r="L3">
        <f t="shared" ref="L3:L27" si="4">K3^$F$2</f>
        <v>1.5626289377873346</v>
      </c>
      <c r="M3" s="3">
        <f t="shared" ref="M3:M27" si="5">100*L3/$L$11</f>
        <v>59.339821883821237</v>
      </c>
      <c r="N3">
        <f t="shared" ref="N3:N27" si="6">100*$K$11^-$F$2</f>
        <v>37.974352355105992</v>
      </c>
      <c r="O3">
        <f t="shared" ref="O3:O27" si="7">D3</f>
        <v>11411.799000000001</v>
      </c>
      <c r="P3">
        <f t="shared" ref="P3:P27" si="8">B3</f>
        <v>9815.3872319999991</v>
      </c>
      <c r="Q3">
        <f t="shared" ref="Q3:Q27" si="9">(D3/B3)^$F$2</f>
        <v>0.41211607411230478</v>
      </c>
      <c r="R3" s="4">
        <f t="shared" ref="R3:R27" si="10">$F$3+$F$4*(N3*H3)*Q3</f>
        <v>3.8381102290358076</v>
      </c>
      <c r="S3" s="5">
        <f>R3-R2</f>
        <v>0.33744441850328855</v>
      </c>
      <c r="T3" s="10">
        <f>H3-H2</f>
        <v>0.11810711790467465</v>
      </c>
      <c r="U3">
        <f>T3-S3</f>
        <v>-0.21933730059861389</v>
      </c>
      <c r="V3">
        <f>(D2/B3)^$F$2</f>
        <v>0.36692856003193935</v>
      </c>
      <c r="W3">
        <f t="shared" ref="W3:W27" si="11">(D3/B2)^$F$2</f>
        <v>0.39389812002042091</v>
      </c>
      <c r="X3">
        <f t="shared" ref="X3:X27" si="12">$F$3+$F$4*(N3*H3)*V3</f>
        <v>3.6273007453660799</v>
      </c>
      <c r="Y3">
        <f t="shared" ref="Y3:Y27" si="13">$F$3+$F$4*(N3*H3)*W3</f>
        <v>3.7531195502213341</v>
      </c>
      <c r="Z3">
        <f t="shared" ref="Z3:Z27" si="14">0.5*((X3-R2)+(R3-Y3))</f>
        <v>0.10581280682401717</v>
      </c>
      <c r="AA3">
        <f t="shared" ref="AA3:AA27" si="15">0.5*((Y3-R2)+(R3-X3))</f>
        <v>0.23163161167927138</v>
      </c>
      <c r="AB3">
        <f>ABS(Z3)+ABS(AA3)</f>
        <v>0.33744441850328855</v>
      </c>
      <c r="AC3" s="1">
        <f>Z3+U3*(ABS(Z3)/AB3)</f>
        <v>3.7034975142927029E-2</v>
      </c>
      <c r="AD3" s="1">
        <f>AA3+U3*(ABS(AA3)/AB3)</f>
        <v>8.1072142761747623E-2</v>
      </c>
      <c r="AE3" s="5">
        <f t="shared" ref="AE3:AE27" si="16">Z3+AA3</f>
        <v>0.33744441850328855</v>
      </c>
      <c r="AF3" s="10">
        <f>AD3+AC3</f>
        <v>0.11810711790467465</v>
      </c>
    </row>
    <row r="4" spans="1:32" x14ac:dyDescent="0.3">
      <c r="A4">
        <v>2002</v>
      </c>
      <c r="B4" s="1">
        <v>9490.9161760000006</v>
      </c>
      <c r="C4" s="1">
        <v>4.384555052790347</v>
      </c>
      <c r="D4" s="1">
        <v>10577.59108</v>
      </c>
      <c r="E4" t="s">
        <v>22</v>
      </c>
      <c r="F4" s="1">
        <v>3.2399999999999998E-2</v>
      </c>
      <c r="G4">
        <v>2002</v>
      </c>
      <c r="H4">
        <f t="shared" si="0"/>
        <v>4.384555052790347</v>
      </c>
      <c r="I4">
        <f t="shared" si="1"/>
        <v>0.77780845604991511</v>
      </c>
      <c r="J4">
        <f t="shared" si="2"/>
        <v>12202.125217562472</v>
      </c>
      <c r="K4">
        <f t="shared" si="3"/>
        <v>0.86686465606628205</v>
      </c>
      <c r="L4">
        <f t="shared" si="4"/>
        <v>2.3173539651052319</v>
      </c>
      <c r="M4" s="3">
        <f t="shared" si="5"/>
        <v>88.00001600240806</v>
      </c>
      <c r="N4">
        <f t="shared" si="6"/>
        <v>37.974352355105992</v>
      </c>
      <c r="O4">
        <f t="shared" si="7"/>
        <v>10577.59108</v>
      </c>
      <c r="P4">
        <f t="shared" si="8"/>
        <v>9490.9161760000006</v>
      </c>
      <c r="Q4">
        <f t="shared" si="9"/>
        <v>0.52852659784268341</v>
      </c>
      <c r="R4" s="4">
        <f t="shared" si="10"/>
        <v>4.766700518478018</v>
      </c>
      <c r="S4" s="5">
        <f t="shared" ref="S4:S27" si="17">R4-R3</f>
        <v>0.92859028944221045</v>
      </c>
      <c r="T4" s="10">
        <f t="shared" ref="T4:T27" si="18">H4-H3</f>
        <v>0.59283462268281939</v>
      </c>
      <c r="U4">
        <f t="shared" ref="U4:U27" si="19">T4-S4</f>
        <v>-0.33575566675939106</v>
      </c>
      <c r="V4">
        <f t="shared" ref="V4:V27" si="20">(D3/B4)^$F$2</f>
        <v>0.33817485921426155</v>
      </c>
      <c r="W4">
        <f t="shared" si="11"/>
        <v>0.64408781620533351</v>
      </c>
      <c r="X4">
        <f t="shared" si="12"/>
        <v>3.7398250914212832</v>
      </c>
      <c r="Y4">
        <f t="shared" si="13"/>
        <v>5.3901094576996762</v>
      </c>
      <c r="Z4">
        <f t="shared" si="14"/>
        <v>-0.36084703841809129</v>
      </c>
      <c r="AA4">
        <f t="shared" si="15"/>
        <v>1.2894373278603017</v>
      </c>
      <c r="AB4">
        <f t="shared" ref="AB4:AB27" si="21">ABS(Z4)+ABS(AA4)</f>
        <v>1.650284366278393</v>
      </c>
      <c r="AC4" s="1">
        <f t="shared" ref="AC4:AC27" si="22">Z4+U4*(ABS(Z4)/AB4)</f>
        <v>-0.43426252998906306</v>
      </c>
      <c r="AD4" s="1">
        <f t="shared" ref="AD4:AD27" si="23">AA4+U4*(ABS(AA4)/AB4)</f>
        <v>1.0270971526718824</v>
      </c>
      <c r="AE4" s="5">
        <f t="shared" si="16"/>
        <v>0.92859028944221045</v>
      </c>
      <c r="AF4" s="10">
        <f t="shared" ref="AF4:AF27" si="24">AD4+AC4</f>
        <v>0.59283462268281939</v>
      </c>
    </row>
    <row r="5" spans="1:32" x14ac:dyDescent="0.3">
      <c r="A5">
        <v>2003</v>
      </c>
      <c r="B5" s="1">
        <v>10229.892904</v>
      </c>
      <c r="C5" s="1">
        <v>4.4789660265878872</v>
      </c>
      <c r="D5" s="1">
        <v>11187.99192</v>
      </c>
      <c r="G5">
        <v>2003</v>
      </c>
      <c r="H5">
        <f t="shared" si="0"/>
        <v>4.4789660265878872</v>
      </c>
      <c r="I5">
        <f t="shared" si="1"/>
        <v>0.77499656820133334</v>
      </c>
      <c r="J5">
        <f t="shared" si="2"/>
        <v>13199.920262540332</v>
      </c>
      <c r="K5">
        <f t="shared" si="3"/>
        <v>0.84758026544676002</v>
      </c>
      <c r="L5">
        <f t="shared" si="4"/>
        <v>2.6452435786475901</v>
      </c>
      <c r="M5" s="3">
        <f t="shared" si="5"/>
        <v>100.4514117206451</v>
      </c>
      <c r="N5">
        <f t="shared" si="6"/>
        <v>37.974352355105992</v>
      </c>
      <c r="O5">
        <f t="shared" si="7"/>
        <v>11187.99192</v>
      </c>
      <c r="P5">
        <f t="shared" si="8"/>
        <v>10229.892904</v>
      </c>
      <c r="Q5">
        <f t="shared" si="9"/>
        <v>0.59059246329286397</v>
      </c>
      <c r="R5" s="4">
        <f t="shared" si="10"/>
        <v>5.1701257397489035</v>
      </c>
      <c r="S5" s="5">
        <f t="shared" si="17"/>
        <v>0.40342522127088554</v>
      </c>
      <c r="T5" s="10">
        <f t="shared" si="18"/>
        <v>9.4410973797540265E-2</v>
      </c>
      <c r="U5">
        <f t="shared" si="19"/>
        <v>-0.30901424747334527</v>
      </c>
      <c r="V5">
        <f t="shared" si="20"/>
        <v>0.82151142783074516</v>
      </c>
      <c r="W5">
        <f t="shared" si="11"/>
        <v>0.37996285232445709</v>
      </c>
      <c r="X5">
        <f t="shared" si="12"/>
        <v>6.4426695876518014</v>
      </c>
      <c r="Y5">
        <f t="shared" si="13"/>
        <v>4.0093920764899158</v>
      </c>
      <c r="Z5">
        <f t="shared" si="14"/>
        <v>1.4183513662163856</v>
      </c>
      <c r="AA5">
        <f t="shared" si="15"/>
        <v>-1.0149261449455</v>
      </c>
      <c r="AB5">
        <f t="shared" si="21"/>
        <v>2.4332775111618856</v>
      </c>
      <c r="AC5" s="1">
        <f t="shared" si="22"/>
        <v>1.2382277354041875</v>
      </c>
      <c r="AD5" s="1">
        <f t="shared" si="23"/>
        <v>-1.1438167616066472</v>
      </c>
      <c r="AE5" s="5">
        <f t="shared" si="16"/>
        <v>0.40342522127088554</v>
      </c>
      <c r="AF5" s="10">
        <f t="shared" si="24"/>
        <v>9.4410973797540265E-2</v>
      </c>
    </row>
    <row r="6" spans="1:32" x14ac:dyDescent="0.3">
      <c r="A6">
        <v>2004</v>
      </c>
      <c r="B6" s="1">
        <v>10660.500088000001</v>
      </c>
      <c r="C6" s="1">
        <v>3.6874000000000007</v>
      </c>
      <c r="D6" s="1">
        <v>12774.443584000001</v>
      </c>
      <c r="G6">
        <v>2004</v>
      </c>
      <c r="H6">
        <f t="shared" si="0"/>
        <v>3.6874000000000007</v>
      </c>
      <c r="I6">
        <f t="shared" si="1"/>
        <v>0.80104618656105331</v>
      </c>
      <c r="J6">
        <f t="shared" si="2"/>
        <v>13308.221506884971</v>
      </c>
      <c r="K6">
        <f t="shared" si="3"/>
        <v>0.95989111523212756</v>
      </c>
      <c r="L6">
        <f t="shared" si="4"/>
        <v>1.2722622352378288</v>
      </c>
      <c r="M6" s="3">
        <f t="shared" si="5"/>
        <v>48.313334409016051</v>
      </c>
      <c r="N6">
        <f t="shared" si="6"/>
        <v>37.974352355105992</v>
      </c>
      <c r="O6">
        <f t="shared" si="7"/>
        <v>12774.443584000001</v>
      </c>
      <c r="P6">
        <f t="shared" si="8"/>
        <v>10660.500088000001</v>
      </c>
      <c r="Q6">
        <f t="shared" si="9"/>
        <v>0.34502962391870384</v>
      </c>
      <c r="R6" s="4">
        <f t="shared" si="10"/>
        <v>3.4808520348521204</v>
      </c>
      <c r="S6" s="5">
        <f t="shared" si="17"/>
        <v>-1.6892737048967832</v>
      </c>
      <c r="T6" s="10">
        <f t="shared" si="18"/>
        <v>-0.79156602658788655</v>
      </c>
      <c r="U6">
        <f t="shared" si="19"/>
        <v>0.89770767830889664</v>
      </c>
      <c r="V6">
        <f t="shared" si="20"/>
        <v>0.75269702617975021</v>
      </c>
      <c r="W6">
        <f t="shared" si="11"/>
        <v>0.27072233370362125</v>
      </c>
      <c r="X6">
        <f t="shared" si="12"/>
        <v>5.3303830705482511</v>
      </c>
      <c r="Y6">
        <f t="shared" si="13"/>
        <v>3.1437300607403165</v>
      </c>
      <c r="Z6">
        <f t="shared" si="14"/>
        <v>0.24868965245557573</v>
      </c>
      <c r="AA6">
        <f t="shared" si="15"/>
        <v>-1.9379633573523589</v>
      </c>
      <c r="AB6">
        <f t="shared" si="21"/>
        <v>2.1866530098079346</v>
      </c>
      <c r="AC6" s="1">
        <f t="shared" si="22"/>
        <v>0.35078660589262362</v>
      </c>
      <c r="AD6" s="1">
        <f t="shared" si="23"/>
        <v>-1.14235263248051</v>
      </c>
      <c r="AE6" s="5">
        <f t="shared" si="16"/>
        <v>-1.6892737048967832</v>
      </c>
      <c r="AF6" s="10">
        <f t="shared" si="24"/>
        <v>-0.79156602658788633</v>
      </c>
    </row>
    <row r="7" spans="1:32" x14ac:dyDescent="0.3">
      <c r="A7">
        <v>2005</v>
      </c>
      <c r="B7" s="1">
        <v>11267.751488</v>
      </c>
      <c r="C7" s="1">
        <v>3.4951185495118553</v>
      </c>
      <c r="D7" s="1">
        <v>13234.891712000001</v>
      </c>
      <c r="G7">
        <v>2005</v>
      </c>
      <c r="H7">
        <f t="shared" si="0"/>
        <v>3.4951185495118553</v>
      </c>
      <c r="I7">
        <f t="shared" si="1"/>
        <v>0.80837239630090485</v>
      </c>
      <c r="J7">
        <f t="shared" si="2"/>
        <v>13938.812779309381</v>
      </c>
      <c r="K7">
        <f t="shared" si="3"/>
        <v>0.94949920926161857</v>
      </c>
      <c r="L7">
        <f t="shared" si="4"/>
        <v>1.3563902595578872</v>
      </c>
      <c r="M7" s="3">
        <f t="shared" si="5"/>
        <v>51.50804164748488</v>
      </c>
      <c r="N7">
        <f t="shared" si="6"/>
        <v>37.974352355105992</v>
      </c>
      <c r="O7">
        <f t="shared" si="7"/>
        <v>13234.891712000001</v>
      </c>
      <c r="P7">
        <f t="shared" si="8"/>
        <v>11267.751488</v>
      </c>
      <c r="Q7">
        <f t="shared" si="9"/>
        <v>0.38808133124621141</v>
      </c>
      <c r="R7" s="4">
        <f t="shared" si="10"/>
        <v>3.5843605493785118</v>
      </c>
      <c r="S7" s="5">
        <f t="shared" si="17"/>
        <v>0.10350851452639143</v>
      </c>
      <c r="T7" s="10">
        <f t="shared" si="18"/>
        <v>-0.19228145048814538</v>
      </c>
      <c r="U7">
        <f t="shared" si="19"/>
        <v>-0.2957899650145368</v>
      </c>
      <c r="V7">
        <f t="shared" si="20"/>
        <v>0.47795160616887927</v>
      </c>
      <c r="W7">
        <f t="shared" si="11"/>
        <v>0.28015295699715287</v>
      </c>
      <c r="X7">
        <f t="shared" si="12"/>
        <v>3.9708283959472208</v>
      </c>
      <c r="Y7">
        <f t="shared" si="13"/>
        <v>3.1202377188253942</v>
      </c>
      <c r="Z7">
        <f t="shared" si="14"/>
        <v>0.477049595824109</v>
      </c>
      <c r="AA7">
        <f t="shared" si="15"/>
        <v>-0.37354108129771757</v>
      </c>
      <c r="AB7">
        <f t="shared" si="21"/>
        <v>0.85059067712182657</v>
      </c>
      <c r="AC7" s="1">
        <f t="shared" si="22"/>
        <v>0.31115724941786915</v>
      </c>
      <c r="AD7" s="1">
        <f t="shared" si="23"/>
        <v>-0.50343869990601453</v>
      </c>
      <c r="AE7" s="5">
        <f t="shared" si="16"/>
        <v>0.10350851452639143</v>
      </c>
      <c r="AF7" s="10">
        <f t="shared" si="24"/>
        <v>-0.19228145048814538</v>
      </c>
    </row>
    <row r="8" spans="1:32" x14ac:dyDescent="0.3">
      <c r="A8">
        <v>2006</v>
      </c>
      <c r="B8" s="1">
        <v>11206.534248</v>
      </c>
      <c r="C8" s="1">
        <v>5.1895367847411444</v>
      </c>
      <c r="D8" s="1">
        <v>12510.1662</v>
      </c>
      <c r="G8">
        <v>2006</v>
      </c>
      <c r="H8">
        <f t="shared" si="0"/>
        <v>5.1895367847411444</v>
      </c>
      <c r="I8">
        <f t="shared" si="1"/>
        <v>0.75583698444949521</v>
      </c>
      <c r="J8">
        <f t="shared" si="2"/>
        <v>14826.655057323167</v>
      </c>
      <c r="K8">
        <f t="shared" si="3"/>
        <v>0.84376187020153215</v>
      </c>
      <c r="L8">
        <f t="shared" si="4"/>
        <v>2.7164431093477028</v>
      </c>
      <c r="M8" s="3">
        <f t="shared" si="5"/>
        <v>103.15516778696936</v>
      </c>
      <c r="N8">
        <f t="shared" si="6"/>
        <v>37.974352355105992</v>
      </c>
      <c r="O8">
        <f t="shared" si="7"/>
        <v>12510.1662</v>
      </c>
      <c r="P8">
        <f t="shared" si="8"/>
        <v>11206.534248</v>
      </c>
      <c r="Q8">
        <f t="shared" si="9"/>
        <v>0.52344616138667588</v>
      </c>
      <c r="R8" s="4">
        <f t="shared" si="10"/>
        <v>5.2577274362978095</v>
      </c>
      <c r="S8" s="5">
        <f t="shared" si="17"/>
        <v>1.6733668869192977</v>
      </c>
      <c r="T8" s="10">
        <f t="shared" si="18"/>
        <v>1.6944182352292891</v>
      </c>
      <c r="U8">
        <f t="shared" si="19"/>
        <v>2.1051348309991447E-2</v>
      </c>
      <c r="V8">
        <f t="shared" si="20"/>
        <v>0.37584214085500867</v>
      </c>
      <c r="W8">
        <f t="shared" si="11"/>
        <v>0.54049203392822021</v>
      </c>
      <c r="X8">
        <f t="shared" si="12"/>
        <v>4.3152690833280998</v>
      </c>
      <c r="Y8">
        <f t="shared" si="13"/>
        <v>5.3665661041238586</v>
      </c>
      <c r="Z8">
        <f t="shared" si="14"/>
        <v>0.31103493306176944</v>
      </c>
      <c r="AA8">
        <f t="shared" si="15"/>
        <v>1.3623319538575283</v>
      </c>
      <c r="AB8">
        <f t="shared" si="21"/>
        <v>1.6733668869192977</v>
      </c>
      <c r="AC8" s="1">
        <f t="shared" si="22"/>
        <v>0.3149478255443694</v>
      </c>
      <c r="AD8" s="1">
        <f t="shared" si="23"/>
        <v>1.3794704096849197</v>
      </c>
      <c r="AE8" s="5">
        <f t="shared" si="16"/>
        <v>1.6733668869192977</v>
      </c>
      <c r="AF8" s="10">
        <f t="shared" si="24"/>
        <v>1.6944182352292891</v>
      </c>
    </row>
    <row r="9" spans="1:32" x14ac:dyDescent="0.3">
      <c r="A9">
        <v>2007</v>
      </c>
      <c r="B9" s="1">
        <v>12737.31956</v>
      </c>
      <c r="C9" s="1">
        <v>6.8972477064220197</v>
      </c>
      <c r="D9" s="1">
        <v>14361.446400000001</v>
      </c>
      <c r="G9">
        <v>2007</v>
      </c>
      <c r="H9">
        <f t="shared" si="0"/>
        <v>6.8972477064220197</v>
      </c>
      <c r="I9">
        <f t="shared" si="1"/>
        <v>0.72015355684685911</v>
      </c>
      <c r="J9">
        <f t="shared" si="2"/>
        <v>17686.949455293179</v>
      </c>
      <c r="K9">
        <f t="shared" si="3"/>
        <v>0.81197984063340245</v>
      </c>
      <c r="L9">
        <f t="shared" si="4"/>
        <v>3.404762183127084</v>
      </c>
      <c r="M9" s="3">
        <f t="shared" si="5"/>
        <v>129.29363882740779</v>
      </c>
      <c r="N9">
        <f t="shared" si="6"/>
        <v>37.974352355105992</v>
      </c>
      <c r="O9">
        <f t="shared" si="7"/>
        <v>14361.446400000001</v>
      </c>
      <c r="P9">
        <f t="shared" si="8"/>
        <v>12737.31956</v>
      </c>
      <c r="Q9">
        <f t="shared" si="9"/>
        <v>0.49364069960209112</v>
      </c>
      <c r="R9" s="4">
        <f t="shared" si="10"/>
        <v>6.1046138980080125</v>
      </c>
      <c r="S9" s="5">
        <f t="shared" si="17"/>
        <v>0.84688646171020299</v>
      </c>
      <c r="T9" s="10">
        <f t="shared" si="18"/>
        <v>1.7077109216808752</v>
      </c>
      <c r="U9">
        <f t="shared" si="19"/>
        <v>0.86082445997067225</v>
      </c>
      <c r="V9">
        <f t="shared" si="20"/>
        <v>1.1116559177009142</v>
      </c>
      <c r="W9">
        <f t="shared" si="11"/>
        <v>0.23244092456715323</v>
      </c>
      <c r="X9">
        <f t="shared" si="12"/>
        <v>11.349189844450631</v>
      </c>
      <c r="Y9">
        <f t="shared" si="13"/>
        <v>3.8880308475475811</v>
      </c>
      <c r="Z9">
        <f t="shared" si="14"/>
        <v>4.154022729306627</v>
      </c>
      <c r="AA9">
        <f t="shared" si="15"/>
        <v>-3.3071362675964235</v>
      </c>
      <c r="AB9">
        <f t="shared" si="21"/>
        <v>7.4611589969030501</v>
      </c>
      <c r="AC9" s="1">
        <f t="shared" si="22"/>
        <v>4.6332893384414193</v>
      </c>
      <c r="AD9" s="1">
        <f t="shared" si="23"/>
        <v>-2.9255784167605436</v>
      </c>
      <c r="AE9" s="5">
        <f t="shared" si="16"/>
        <v>0.84688646171020343</v>
      </c>
      <c r="AF9" s="10">
        <f t="shared" si="24"/>
        <v>1.7077109216808757</v>
      </c>
    </row>
    <row r="10" spans="1:32" x14ac:dyDescent="0.3">
      <c r="A10">
        <v>2008</v>
      </c>
      <c r="B10" s="1">
        <v>12007.476208</v>
      </c>
      <c r="C10" s="1">
        <v>6.3273383084577102</v>
      </c>
      <c r="D10" s="1">
        <v>13680.77368</v>
      </c>
      <c r="G10">
        <v>2008</v>
      </c>
      <c r="H10">
        <f t="shared" si="0"/>
        <v>6.3273383084577102</v>
      </c>
      <c r="I10">
        <f t="shared" si="1"/>
        <v>0.73078970484863404</v>
      </c>
      <c r="J10">
        <f t="shared" si="2"/>
        <v>16430.822886985068</v>
      </c>
      <c r="K10">
        <f t="shared" si="3"/>
        <v>0.83262863790203745</v>
      </c>
      <c r="L10">
        <f t="shared" si="4"/>
        <v>2.9371983092250211</v>
      </c>
      <c r="M10" s="3">
        <f t="shared" si="5"/>
        <v>111.53820353133251</v>
      </c>
      <c r="N10">
        <f t="shared" si="6"/>
        <v>37.974352355105992</v>
      </c>
      <c r="O10">
        <f t="shared" si="7"/>
        <v>13680.77368</v>
      </c>
      <c r="P10">
        <f t="shared" si="8"/>
        <v>12007.476208</v>
      </c>
      <c r="Q10">
        <f t="shared" si="9"/>
        <v>0.46420756501970056</v>
      </c>
      <c r="R10" s="4">
        <f t="shared" si="10"/>
        <v>5.529337794415178</v>
      </c>
      <c r="S10" s="5">
        <f t="shared" si="17"/>
        <v>-0.57527610359283443</v>
      </c>
      <c r="T10" s="10">
        <f t="shared" si="18"/>
        <v>-0.56990939796430951</v>
      </c>
      <c r="U10">
        <f t="shared" si="19"/>
        <v>5.3667056285249259E-3</v>
      </c>
      <c r="V10">
        <f t="shared" si="20"/>
        <v>0.34887348169160709</v>
      </c>
      <c r="W10">
        <f t="shared" si="11"/>
        <v>0.65683337709075496</v>
      </c>
      <c r="X10">
        <f t="shared" si="12"/>
        <v>4.6314664525347302</v>
      </c>
      <c r="Y10">
        <f t="shared" si="13"/>
        <v>7.0289222309866686</v>
      </c>
      <c r="Z10">
        <f t="shared" si="14"/>
        <v>-1.4863659410223864</v>
      </c>
      <c r="AA10">
        <f t="shared" si="15"/>
        <v>0.91108983742955196</v>
      </c>
      <c r="AB10">
        <f t="shared" si="21"/>
        <v>2.3974557784519384</v>
      </c>
      <c r="AC10" s="1">
        <f t="shared" si="22"/>
        <v>-1.4830387103249829</v>
      </c>
      <c r="AD10" s="1">
        <f t="shared" si="23"/>
        <v>0.91312931236067341</v>
      </c>
      <c r="AE10" s="5">
        <f t="shared" si="16"/>
        <v>-0.57527610359283443</v>
      </c>
      <c r="AF10" s="10">
        <f t="shared" si="24"/>
        <v>-0.56990939796430951</v>
      </c>
    </row>
    <row r="11" spans="1:32" x14ac:dyDescent="0.3">
      <c r="A11" s="6">
        <v>2009</v>
      </c>
      <c r="B11" s="1">
        <v>13040.925576</v>
      </c>
      <c r="C11" s="1">
        <v>5.4311965811965814</v>
      </c>
      <c r="D11" s="1">
        <v>14748.709416</v>
      </c>
      <c r="G11" s="6">
        <v>2009</v>
      </c>
      <c r="H11">
        <f t="shared" si="0"/>
        <v>5.4311965811965814</v>
      </c>
      <c r="I11">
        <f t="shared" si="1"/>
        <v>0.75001122142016552</v>
      </c>
      <c r="J11">
        <f>B11/I11</f>
        <v>17387.640615971948</v>
      </c>
      <c r="K11">
        <f t="shared" si="3"/>
        <v>0.84822948332921733</v>
      </c>
      <c r="L11">
        <f t="shared" si="4"/>
        <v>2.6333562996645581</v>
      </c>
      <c r="M11" s="3">
        <f t="shared" si="5"/>
        <v>100</v>
      </c>
      <c r="N11">
        <f t="shared" si="6"/>
        <v>37.974352355105992</v>
      </c>
      <c r="O11">
        <f t="shared" si="7"/>
        <v>14748.709416</v>
      </c>
      <c r="P11">
        <f t="shared" si="8"/>
        <v>13040.925576</v>
      </c>
      <c r="Q11">
        <f t="shared" si="9"/>
        <v>0.48485748219490687</v>
      </c>
      <c r="R11" s="4">
        <f t="shared" si="10"/>
        <v>5.1555000000000035</v>
      </c>
      <c r="S11" s="5">
        <f t="shared" si="17"/>
        <v>-0.37383779441517451</v>
      </c>
      <c r="T11" s="10">
        <f t="shared" si="18"/>
        <v>-0.89614172726112873</v>
      </c>
      <c r="U11">
        <f t="shared" si="19"/>
        <v>-0.52230393284595422</v>
      </c>
      <c r="V11">
        <f t="shared" si="20"/>
        <v>0.75445591947001145</v>
      </c>
      <c r="W11">
        <f t="shared" si="11"/>
        <v>0.29832692060974242</v>
      </c>
      <c r="X11">
        <f t="shared" si="12"/>
        <v>6.9570581255281221</v>
      </c>
      <c r="Y11">
        <f t="shared" si="13"/>
        <v>3.9090326529353492</v>
      </c>
      <c r="Z11">
        <f t="shared" si="14"/>
        <v>1.3370938390887992</v>
      </c>
      <c r="AA11">
        <f t="shared" si="15"/>
        <v>-1.7109316335039737</v>
      </c>
      <c r="AB11">
        <f t="shared" si="21"/>
        <v>3.0480254725927729</v>
      </c>
      <c r="AC11" s="1">
        <f t="shared" si="22"/>
        <v>1.1079719445968499</v>
      </c>
      <c r="AD11" s="1">
        <f t="shared" si="23"/>
        <v>-2.0041136718579784</v>
      </c>
      <c r="AE11" s="5">
        <f t="shared" si="16"/>
        <v>-0.37383779441517451</v>
      </c>
      <c r="AF11" s="10">
        <f t="shared" si="24"/>
        <v>-0.89614172726112851</v>
      </c>
    </row>
    <row r="12" spans="1:32" x14ac:dyDescent="0.3">
      <c r="A12">
        <v>2010</v>
      </c>
      <c r="B12" s="1">
        <v>13033.051976000001</v>
      </c>
      <c r="C12" s="1">
        <v>7.8673212121212126</v>
      </c>
      <c r="D12" s="1">
        <v>14160.708968000001</v>
      </c>
      <c r="G12">
        <v>2010</v>
      </c>
      <c r="H12">
        <f t="shared" si="0"/>
        <v>7.8673212121212126</v>
      </c>
      <c r="I12">
        <f t="shared" si="1"/>
        <v>0.70422174324276599</v>
      </c>
      <c r="J12">
        <f t="shared" si="2"/>
        <v>18507.028646951509</v>
      </c>
      <c r="K12">
        <f t="shared" si="3"/>
        <v>0.76515302581176714</v>
      </c>
      <c r="L12">
        <f t="shared" si="4"/>
        <v>4.8287367484821173</v>
      </c>
      <c r="M12" s="3">
        <f t="shared" si="5"/>
        <v>183.36815071690873</v>
      </c>
      <c r="N12">
        <f t="shared" si="6"/>
        <v>37.974352355105992</v>
      </c>
      <c r="O12">
        <f t="shared" si="7"/>
        <v>14160.708968000001</v>
      </c>
      <c r="P12">
        <f t="shared" si="8"/>
        <v>13033.051976000001</v>
      </c>
      <c r="Q12">
        <f t="shared" si="9"/>
        <v>0.61377139922067336</v>
      </c>
      <c r="R12" s="4">
        <f t="shared" si="10"/>
        <v>7.8566280832278474</v>
      </c>
      <c r="S12" s="5">
        <f t="shared" si="17"/>
        <v>2.7011280832278439</v>
      </c>
      <c r="T12" s="10">
        <f t="shared" si="18"/>
        <v>2.4361246309246312</v>
      </c>
      <c r="U12">
        <f t="shared" si="19"/>
        <v>-0.26500345230321276</v>
      </c>
      <c r="V12">
        <f t="shared" si="20"/>
        <v>0.48313803026302354</v>
      </c>
      <c r="W12">
        <f t="shared" si="11"/>
        <v>0.61595576549287567</v>
      </c>
      <c r="X12">
        <f t="shared" si="12"/>
        <v>6.5921351826032639</v>
      </c>
      <c r="Y12">
        <f t="shared" si="13"/>
        <v>7.8777721114773147</v>
      </c>
      <c r="Z12">
        <f t="shared" si="14"/>
        <v>0.70774557717689657</v>
      </c>
      <c r="AA12">
        <f t="shared" si="15"/>
        <v>1.9933825060509474</v>
      </c>
      <c r="AB12">
        <f t="shared" si="21"/>
        <v>2.7011280832278439</v>
      </c>
      <c r="AC12" s="1">
        <f t="shared" si="22"/>
        <v>0.63830976535116501</v>
      </c>
      <c r="AD12" s="1">
        <f t="shared" si="23"/>
        <v>1.797814865573466</v>
      </c>
      <c r="AE12" s="5">
        <f t="shared" si="16"/>
        <v>2.7011280832278439</v>
      </c>
      <c r="AF12" s="10">
        <f t="shared" si="24"/>
        <v>2.4361246309246312</v>
      </c>
    </row>
    <row r="13" spans="1:32" x14ac:dyDescent="0.3">
      <c r="A13">
        <v>2011</v>
      </c>
      <c r="B13" s="1">
        <v>12481.899976000001</v>
      </c>
      <c r="C13" s="1">
        <v>9.1153918128654965</v>
      </c>
      <c r="D13" s="1">
        <v>13470.902872000001</v>
      </c>
      <c r="G13">
        <v>2011</v>
      </c>
      <c r="H13">
        <f t="shared" si="0"/>
        <v>9.1153918128654965</v>
      </c>
      <c r="I13">
        <f t="shared" si="1"/>
        <v>0.68681250207020872</v>
      </c>
      <c r="J13">
        <f t="shared" si="2"/>
        <v>18173.664483940993</v>
      </c>
      <c r="K13">
        <f t="shared" si="3"/>
        <v>0.74123206598776226</v>
      </c>
      <c r="L13">
        <f t="shared" si="4"/>
        <v>5.8207011382411347</v>
      </c>
      <c r="M13" s="3">
        <f t="shared" si="5"/>
        <v>221.03735597733535</v>
      </c>
      <c r="N13">
        <f t="shared" si="6"/>
        <v>37.974352355105992</v>
      </c>
      <c r="O13">
        <f t="shared" si="7"/>
        <v>13470.902872000001</v>
      </c>
      <c r="P13">
        <f t="shared" si="8"/>
        <v>12481.899976000001</v>
      </c>
      <c r="Q13">
        <f t="shared" si="9"/>
        <v>0.63855742657444214</v>
      </c>
      <c r="R13" s="4">
        <f t="shared" si="10"/>
        <v>9.0771103336656598</v>
      </c>
      <c r="S13" s="5">
        <f t="shared" si="17"/>
        <v>1.2204822504378123</v>
      </c>
      <c r="T13" s="10">
        <f t="shared" si="18"/>
        <v>1.2480706007442839</v>
      </c>
      <c r="U13">
        <f t="shared" si="19"/>
        <v>2.7588350306471554E-2</v>
      </c>
      <c r="V13">
        <f t="shared" si="20"/>
        <v>0.47601623986880298</v>
      </c>
      <c r="W13">
        <f t="shared" si="11"/>
        <v>0.82335065984170785</v>
      </c>
      <c r="X13">
        <f t="shared" si="12"/>
        <v>7.2541628681542223</v>
      </c>
      <c r="Y13">
        <f t="shared" si="13"/>
        <v>11.149621080362074</v>
      </c>
      <c r="Z13">
        <f t="shared" si="14"/>
        <v>-1.3374879808850197</v>
      </c>
      <c r="AA13">
        <f t="shared" si="15"/>
        <v>2.5579702313228321</v>
      </c>
      <c r="AB13">
        <f t="shared" si="21"/>
        <v>3.8954582122078518</v>
      </c>
      <c r="AC13" s="1">
        <f t="shared" si="22"/>
        <v>-1.3280156454273542</v>
      </c>
      <c r="AD13" s="1">
        <f t="shared" si="23"/>
        <v>2.5760862461716378</v>
      </c>
      <c r="AE13" s="5">
        <f t="shared" si="16"/>
        <v>1.2204822504378123</v>
      </c>
      <c r="AF13" s="10">
        <f t="shared" si="24"/>
        <v>1.2480706007442837</v>
      </c>
    </row>
    <row r="14" spans="1:32" x14ac:dyDescent="0.3">
      <c r="A14">
        <v>2012</v>
      </c>
      <c r="B14" s="1">
        <v>11082.800624</v>
      </c>
      <c r="C14" s="1">
        <v>9.8552168949771701</v>
      </c>
      <c r="D14" s="1">
        <v>11903.977736000001</v>
      </c>
      <c r="G14" s="9">
        <v>2012</v>
      </c>
      <c r="H14" s="9">
        <f t="shared" si="0"/>
        <v>9.8552168949771701</v>
      </c>
      <c r="I14" s="9">
        <f t="shared" si="1"/>
        <v>0.6777612705854319</v>
      </c>
      <c r="J14" s="9">
        <f t="shared" si="2"/>
        <v>16352.071304438767</v>
      </c>
      <c r="K14" s="9">
        <f t="shared" si="3"/>
        <v>0.72797980845207466</v>
      </c>
      <c r="L14" s="9">
        <f t="shared" si="4"/>
        <v>6.4723611573575628</v>
      </c>
      <c r="M14" s="9">
        <f t="shared" si="5"/>
        <v>245.78372315899767</v>
      </c>
      <c r="N14" s="9">
        <f t="shared" si="6"/>
        <v>37.974352355105992</v>
      </c>
      <c r="O14" s="9">
        <f t="shared" si="7"/>
        <v>11903.977736000001</v>
      </c>
      <c r="P14" s="9">
        <f t="shared" si="8"/>
        <v>11082.800624</v>
      </c>
      <c r="Q14">
        <f t="shared" si="9"/>
        <v>0.6567446689738794</v>
      </c>
      <c r="R14" s="4">
        <f t="shared" si="10"/>
        <v>9.8788926303515296</v>
      </c>
      <c r="S14" s="5">
        <f t="shared" si="17"/>
        <v>0.80178229668586987</v>
      </c>
      <c r="T14" s="10">
        <f t="shared" si="18"/>
        <v>0.73982508211167364</v>
      </c>
      <c r="U14">
        <f t="shared" si="19"/>
        <v>-6.1957214574196229E-2</v>
      </c>
      <c r="V14">
        <f t="shared" si="20"/>
        <v>0.31731247836679527</v>
      </c>
      <c r="W14">
        <f t="shared" si="11"/>
        <v>1.3216284083592749</v>
      </c>
      <c r="X14">
        <f t="shared" si="12"/>
        <v>5.763089437905613</v>
      </c>
      <c r="Y14">
        <f t="shared" si="13"/>
        <v>17.940975994552865</v>
      </c>
      <c r="Z14">
        <f t="shared" si="14"/>
        <v>-5.688052129980691</v>
      </c>
      <c r="AA14">
        <f t="shared" si="15"/>
        <v>6.4898344266665609</v>
      </c>
      <c r="AB14">
        <f t="shared" si="21"/>
        <v>12.177886556647252</v>
      </c>
      <c r="AC14" s="1">
        <f t="shared" si="22"/>
        <v>-5.7169911305771501</v>
      </c>
      <c r="AD14" s="1">
        <f t="shared" si="23"/>
        <v>6.4568162126888238</v>
      </c>
      <c r="AE14" s="5">
        <f t="shared" si="16"/>
        <v>0.80178229668586987</v>
      </c>
      <c r="AF14" s="10">
        <f t="shared" si="24"/>
        <v>0.73982508211167364</v>
      </c>
    </row>
    <row r="15" spans="1:32" x14ac:dyDescent="0.3">
      <c r="A15">
        <v>2013</v>
      </c>
      <c r="B15" s="1">
        <v>13455.667455999999</v>
      </c>
      <c r="C15" s="1">
        <v>6.2861417322834638</v>
      </c>
      <c r="D15" s="1">
        <v>14687.570911999999</v>
      </c>
      <c r="G15">
        <v>2013</v>
      </c>
      <c r="H15">
        <f t="shared" si="0"/>
        <v>6.2861417322834638</v>
      </c>
      <c r="I15">
        <f t="shared" si="1"/>
        <v>0.7316016753256972</v>
      </c>
      <c r="J15">
        <f t="shared" si="2"/>
        <v>18392.067582417378</v>
      </c>
      <c r="K15">
        <f t="shared" si="3"/>
        <v>0.79858182589765825</v>
      </c>
      <c r="L15">
        <f t="shared" si="4"/>
        <v>3.7548417097366378</v>
      </c>
      <c r="M15" s="3">
        <f t="shared" si="5"/>
        <v>142.58768212318768</v>
      </c>
      <c r="N15">
        <f t="shared" si="6"/>
        <v>37.974352355105992</v>
      </c>
      <c r="O15">
        <f t="shared" si="7"/>
        <v>14687.570911999999</v>
      </c>
      <c r="P15">
        <f t="shared" si="8"/>
        <v>13455.667455999999</v>
      </c>
      <c r="Q15">
        <f t="shared" si="9"/>
        <v>0.59732056158598246</v>
      </c>
      <c r="R15" s="4">
        <f t="shared" si="10"/>
        <v>6.535340900791283</v>
      </c>
      <c r="S15" s="5">
        <f t="shared" si="17"/>
        <v>-3.3435517295602466</v>
      </c>
      <c r="T15" s="10">
        <f t="shared" si="18"/>
        <v>-3.5690751626937063</v>
      </c>
      <c r="U15">
        <f t="shared" si="19"/>
        <v>-0.22552343313345968</v>
      </c>
      <c r="V15">
        <f t="shared" si="20"/>
        <v>2.055978020325409</v>
      </c>
      <c r="W15">
        <f t="shared" si="11"/>
        <v>0.19080315577886797</v>
      </c>
      <c r="X15">
        <f t="shared" si="12"/>
        <v>17.816997387278484</v>
      </c>
      <c r="Y15">
        <f t="shared" si="13"/>
        <v>3.3912238905802816</v>
      </c>
      <c r="Z15">
        <f t="shared" si="14"/>
        <v>5.5411108835689777</v>
      </c>
      <c r="AA15">
        <f t="shared" si="15"/>
        <v>-8.8846626131292243</v>
      </c>
      <c r="AB15">
        <f t="shared" si="21"/>
        <v>14.425773496698202</v>
      </c>
      <c r="AC15" s="1">
        <f t="shared" si="22"/>
        <v>5.4544846551645403</v>
      </c>
      <c r="AD15" s="1">
        <f t="shared" si="23"/>
        <v>-9.0235598178582475</v>
      </c>
      <c r="AE15" s="5">
        <f t="shared" si="16"/>
        <v>-3.3435517295602466</v>
      </c>
      <c r="AF15" s="10">
        <f t="shared" si="24"/>
        <v>-3.5690751626937072</v>
      </c>
    </row>
    <row r="16" spans="1:32" x14ac:dyDescent="0.3">
      <c r="A16">
        <v>2014</v>
      </c>
      <c r="B16" s="1">
        <v>13749.588943999999</v>
      </c>
      <c r="C16" s="1">
        <v>5.1002200220022011</v>
      </c>
      <c r="D16" s="1">
        <v>15480.757376</v>
      </c>
      <c r="G16">
        <v>2014</v>
      </c>
      <c r="H16">
        <f t="shared" si="0"/>
        <v>5.1002200220022011</v>
      </c>
      <c r="I16">
        <f t="shared" si="1"/>
        <v>0.75807100342453371</v>
      </c>
      <c r="J16">
        <f t="shared" si="2"/>
        <v>18137.60041194977</v>
      </c>
      <c r="K16">
        <f t="shared" si="3"/>
        <v>0.85351739063567988</v>
      </c>
      <c r="L16">
        <f t="shared" si="4"/>
        <v>2.538826903165897</v>
      </c>
      <c r="M16" s="3">
        <f t="shared" si="5"/>
        <v>96.410307389444327</v>
      </c>
      <c r="N16">
        <f t="shared" si="6"/>
        <v>37.974352355105992</v>
      </c>
      <c r="O16">
        <f t="shared" si="7"/>
        <v>15480.757376</v>
      </c>
      <c r="P16">
        <f t="shared" si="8"/>
        <v>13749.588943999999</v>
      </c>
      <c r="Q16">
        <f t="shared" si="9"/>
        <v>0.49778772135583815</v>
      </c>
      <c r="R16" s="4">
        <f t="shared" si="10"/>
        <v>5.0391939594179975</v>
      </c>
      <c r="S16" s="5">
        <f t="shared" si="17"/>
        <v>-1.4961469413732855</v>
      </c>
      <c r="T16" s="10">
        <f t="shared" si="18"/>
        <v>-1.1859217102812627</v>
      </c>
      <c r="U16">
        <f t="shared" si="19"/>
        <v>0.31022523109202282</v>
      </c>
      <c r="V16">
        <f t="shared" si="20"/>
        <v>0.67828189607636669</v>
      </c>
      <c r="W16">
        <f t="shared" si="11"/>
        <v>0.43837059929047356</v>
      </c>
      <c r="X16">
        <f t="shared" si="12"/>
        <v>6.1718224656997327</v>
      </c>
      <c r="Y16">
        <f t="shared" si="13"/>
        <v>4.6663424459735623</v>
      </c>
      <c r="Z16">
        <f t="shared" si="14"/>
        <v>4.6665391764424413E-3</v>
      </c>
      <c r="AA16">
        <f t="shared" si="15"/>
        <v>-1.500813480549728</v>
      </c>
      <c r="AB16">
        <f t="shared" si="21"/>
        <v>1.5054800197261704</v>
      </c>
      <c r="AC16" s="1">
        <f t="shared" si="22"/>
        <v>5.628144893850202E-3</v>
      </c>
      <c r="AD16" s="1">
        <f t="shared" si="23"/>
        <v>-1.1915498551751129</v>
      </c>
      <c r="AE16" s="5">
        <f t="shared" si="16"/>
        <v>-1.4961469413732855</v>
      </c>
      <c r="AF16" s="10">
        <f t="shared" si="24"/>
        <v>-1.1859217102812627</v>
      </c>
    </row>
    <row r="17" spans="1:32" x14ac:dyDescent="0.3">
      <c r="A17">
        <v>2015</v>
      </c>
      <c r="B17" s="1">
        <v>13663.569863999999</v>
      </c>
      <c r="C17" s="1">
        <v>4.8848056155507571</v>
      </c>
      <c r="D17" s="1">
        <v>15400.604128000001</v>
      </c>
      <c r="G17">
        <v>2015</v>
      </c>
      <c r="H17">
        <f t="shared" si="0"/>
        <v>4.8848056155507571</v>
      </c>
      <c r="I17">
        <f t="shared" si="1"/>
        <v>0.76365282262712231</v>
      </c>
      <c r="J17">
        <f t="shared" si="2"/>
        <v>17892.384417561003</v>
      </c>
      <c r="K17">
        <f t="shared" si="3"/>
        <v>0.8607351467859492</v>
      </c>
      <c r="L17">
        <f t="shared" si="4"/>
        <v>2.4161304025746473</v>
      </c>
      <c r="M17" s="3">
        <f t="shared" si="5"/>
        <v>91.750987243253732</v>
      </c>
      <c r="N17">
        <f t="shared" si="6"/>
        <v>37.974352355105992</v>
      </c>
      <c r="O17">
        <f t="shared" si="7"/>
        <v>15400.604128000001</v>
      </c>
      <c r="P17">
        <f t="shared" si="8"/>
        <v>13663.569863999999</v>
      </c>
      <c r="Q17">
        <f t="shared" si="9"/>
        <v>0.49462160682154965</v>
      </c>
      <c r="R17" s="4">
        <f t="shared" si="10"/>
        <v>4.8882319866814177</v>
      </c>
      <c r="S17" s="5">
        <f t="shared" si="17"/>
        <v>-0.15096197273657985</v>
      </c>
      <c r="T17" s="10">
        <f t="shared" si="18"/>
        <v>-0.21541440645144405</v>
      </c>
      <c r="U17">
        <f t="shared" si="19"/>
        <v>-6.4452433714864199E-2</v>
      </c>
      <c r="V17">
        <f t="shared" si="20"/>
        <v>0.47974629881536518</v>
      </c>
      <c r="W17">
        <f t="shared" si="11"/>
        <v>0.51322243277549773</v>
      </c>
      <c r="X17">
        <f t="shared" si="12"/>
        <v>4.7988296975135754</v>
      </c>
      <c r="Y17">
        <f t="shared" si="13"/>
        <v>5.0000250614872757</v>
      </c>
      <c r="Z17">
        <f t="shared" si="14"/>
        <v>-0.17607866835514008</v>
      </c>
      <c r="AA17">
        <f t="shared" si="15"/>
        <v>2.5116695618560225E-2</v>
      </c>
      <c r="AB17">
        <f t="shared" si="21"/>
        <v>0.2011953639737003</v>
      </c>
      <c r="AC17" s="1">
        <f t="shared" si="22"/>
        <v>-0.23248503118885175</v>
      </c>
      <c r="AD17" s="1">
        <f t="shared" si="23"/>
        <v>1.7070624737407704E-2</v>
      </c>
      <c r="AE17" s="5">
        <f t="shared" si="16"/>
        <v>-0.15096197273657985</v>
      </c>
      <c r="AF17" s="10">
        <f t="shared" si="24"/>
        <v>-0.21541440645144405</v>
      </c>
    </row>
    <row r="18" spans="1:32" x14ac:dyDescent="0.3">
      <c r="A18">
        <v>2016</v>
      </c>
      <c r="B18" s="1">
        <v>14648.754064000001</v>
      </c>
      <c r="C18" s="1">
        <v>4.5318406889128093</v>
      </c>
      <c r="D18" s="1">
        <v>16942.058168</v>
      </c>
      <c r="G18">
        <v>2016</v>
      </c>
      <c r="H18">
        <f t="shared" si="0"/>
        <v>4.5318406889128093</v>
      </c>
      <c r="I18">
        <f t="shared" si="1"/>
        <v>0.77345190268138531</v>
      </c>
      <c r="J18">
        <f t="shared" si="2"/>
        <v>18939.450550468668</v>
      </c>
      <c r="K18">
        <f t="shared" si="3"/>
        <v>0.89453799743840823</v>
      </c>
      <c r="L18">
        <f t="shared" si="4"/>
        <v>1.9262514692192405</v>
      </c>
      <c r="M18" s="3">
        <f t="shared" si="5"/>
        <v>73.148152016672043</v>
      </c>
      <c r="N18">
        <f t="shared" si="6"/>
        <v>37.974352355105992</v>
      </c>
      <c r="O18">
        <f t="shared" si="7"/>
        <v>16942.058168</v>
      </c>
      <c r="P18">
        <f t="shared" si="8"/>
        <v>14648.754064000001</v>
      </c>
      <c r="Q18">
        <f t="shared" si="9"/>
        <v>0.42504836366640913</v>
      </c>
      <c r="R18" s="4">
        <f t="shared" si="10"/>
        <v>4.2855001253401754</v>
      </c>
      <c r="S18" s="5">
        <f t="shared" si="17"/>
        <v>-0.60273186134124224</v>
      </c>
      <c r="T18" s="10">
        <f t="shared" si="18"/>
        <v>-0.35296492663794776</v>
      </c>
      <c r="U18">
        <f t="shared" si="19"/>
        <v>0.24976693470329447</v>
      </c>
      <c r="V18">
        <f t="shared" si="20"/>
        <v>0.74496331001213123</v>
      </c>
      <c r="W18">
        <f t="shared" si="11"/>
        <v>0.28221269663619564</v>
      </c>
      <c r="X18">
        <f t="shared" si="12"/>
        <v>6.0692935186318016</v>
      </c>
      <c r="Y18">
        <f t="shared" si="13"/>
        <v>3.4890718181126839</v>
      </c>
      <c r="Z18">
        <f t="shared" si="14"/>
        <v>0.98874491958893773</v>
      </c>
      <c r="AA18">
        <f t="shared" si="15"/>
        <v>-1.59147678093018</v>
      </c>
      <c r="AB18">
        <f t="shared" si="21"/>
        <v>2.5802217005191177</v>
      </c>
      <c r="AC18" s="1">
        <f t="shared" si="22"/>
        <v>1.084455992679866</v>
      </c>
      <c r="AD18" s="1">
        <f t="shared" si="23"/>
        <v>-1.4374209193178138</v>
      </c>
      <c r="AE18" s="5">
        <f t="shared" si="16"/>
        <v>-0.60273186134124224</v>
      </c>
      <c r="AF18" s="10">
        <f t="shared" si="24"/>
        <v>-0.35296492663794776</v>
      </c>
    </row>
    <row r="19" spans="1:32" x14ac:dyDescent="0.3">
      <c r="A19">
        <v>2017</v>
      </c>
      <c r="B19" s="1">
        <v>14798.313096</v>
      </c>
      <c r="C19" s="1">
        <v>4.4931483457844186</v>
      </c>
      <c r="D19" s="1">
        <v>16938.633151999999</v>
      </c>
      <c r="G19">
        <v>2017</v>
      </c>
      <c r="H19">
        <f t="shared" si="0"/>
        <v>4.4931483457844186</v>
      </c>
      <c r="I19">
        <f t="shared" si="1"/>
        <v>0.77458016427697352</v>
      </c>
      <c r="J19">
        <f t="shared" si="2"/>
        <v>19104.947142318553</v>
      </c>
      <c r="K19">
        <f t="shared" si="3"/>
        <v>0.88660978885829811</v>
      </c>
      <c r="L19">
        <f t="shared" si="4"/>
        <v>2.0298117085255645</v>
      </c>
      <c r="M19" s="3">
        <f t="shared" si="5"/>
        <v>77.080785034069478</v>
      </c>
      <c r="N19">
        <f t="shared" si="6"/>
        <v>37.974352355105992</v>
      </c>
      <c r="O19">
        <f t="shared" si="7"/>
        <v>16938.633151999999</v>
      </c>
      <c r="P19">
        <f t="shared" si="8"/>
        <v>14798.313096</v>
      </c>
      <c r="Q19">
        <f t="shared" si="9"/>
        <v>0.45175710933959773</v>
      </c>
      <c r="R19" s="4">
        <f t="shared" si="10"/>
        <v>4.4129174351038509</v>
      </c>
      <c r="S19" s="5">
        <f t="shared" si="17"/>
        <v>0.12741730976367549</v>
      </c>
      <c r="T19" s="10">
        <f t="shared" si="18"/>
        <v>-3.869234312839076E-2</v>
      </c>
      <c r="U19">
        <f t="shared" si="19"/>
        <v>-0.16610965289206625</v>
      </c>
      <c r="V19">
        <f t="shared" si="20"/>
        <v>0.45122015397548704</v>
      </c>
      <c r="W19">
        <f t="shared" si="11"/>
        <v>0.42555417440395321</v>
      </c>
      <c r="X19">
        <f t="shared" si="12"/>
        <v>4.4099490220772957</v>
      </c>
      <c r="Y19">
        <f t="shared" si="13"/>
        <v>4.2680615707327654</v>
      </c>
      <c r="Z19">
        <f t="shared" si="14"/>
        <v>0.13465238055410289</v>
      </c>
      <c r="AA19">
        <f t="shared" si="15"/>
        <v>-7.2350707904274003E-3</v>
      </c>
      <c r="AB19">
        <f t="shared" si="21"/>
        <v>0.14188745134453029</v>
      </c>
      <c r="AC19" s="1">
        <f t="shared" si="22"/>
        <v>-2.2987072286732718E-2</v>
      </c>
      <c r="AD19" s="1">
        <f t="shared" si="23"/>
        <v>-1.5705270841658021E-2</v>
      </c>
      <c r="AE19" s="5">
        <f t="shared" si="16"/>
        <v>0.12741730976367549</v>
      </c>
      <c r="AF19" s="10">
        <f t="shared" si="24"/>
        <v>-3.869234312839074E-2</v>
      </c>
    </row>
    <row r="20" spans="1:32" x14ac:dyDescent="0.3">
      <c r="A20">
        <v>2018</v>
      </c>
      <c r="B20" s="1">
        <v>14252.830088000001</v>
      </c>
      <c r="C20" s="1">
        <v>4.7614000000000001</v>
      </c>
      <c r="D20" s="1">
        <v>16489.837952000002</v>
      </c>
      <c r="G20" s="9">
        <v>2018</v>
      </c>
      <c r="H20" s="9">
        <f t="shared" si="0"/>
        <v>4.7614000000000001</v>
      </c>
      <c r="I20" s="9">
        <f t="shared" si="1"/>
        <v>0.76698188472089623</v>
      </c>
      <c r="J20" s="9">
        <f t="shared" si="2"/>
        <v>18583.007463320449</v>
      </c>
      <c r="K20" s="9">
        <f t="shared" si="3"/>
        <v>0.88736110043264027</v>
      </c>
      <c r="L20" s="9">
        <f t="shared" si="4"/>
        <v>2.0197231541551934</v>
      </c>
      <c r="M20" s="9">
        <f t="shared" si="5"/>
        <v>76.697678715655371</v>
      </c>
      <c r="N20" s="9">
        <f t="shared" si="6"/>
        <v>37.974352355105992</v>
      </c>
      <c r="O20" s="9">
        <f t="shared" si="7"/>
        <v>16489.837952000002</v>
      </c>
      <c r="P20" s="9">
        <f t="shared" si="8"/>
        <v>14252.830088000001</v>
      </c>
      <c r="Q20">
        <f t="shared" si="9"/>
        <v>0.42418682617616543</v>
      </c>
      <c r="R20" s="4">
        <f t="shared" si="10"/>
        <v>4.4005047903872345</v>
      </c>
      <c r="S20" s="5">
        <f t="shared" si="17"/>
        <v>-1.2412644716616406E-2</v>
      </c>
      <c r="T20" s="10">
        <f t="shared" si="18"/>
        <v>0.2682516542155815</v>
      </c>
      <c r="U20">
        <f t="shared" si="19"/>
        <v>0.28066429893219791</v>
      </c>
      <c r="V20">
        <f t="shared" si="20"/>
        <v>0.36220740599578677</v>
      </c>
      <c r="W20">
        <f t="shared" si="11"/>
        <v>0.5290599011537388</v>
      </c>
      <c r="X20">
        <f t="shared" si="12"/>
        <v>4.0374120525903754</v>
      </c>
      <c r="Y20">
        <f t="shared" si="13"/>
        <v>5.0148805267842853</v>
      </c>
      <c r="Z20">
        <f t="shared" si="14"/>
        <v>-0.49494055945526316</v>
      </c>
      <c r="AA20">
        <f t="shared" si="15"/>
        <v>0.48252791473864676</v>
      </c>
      <c r="AB20">
        <f t="shared" si="21"/>
        <v>0.97746847419390992</v>
      </c>
      <c r="AC20" s="1">
        <f t="shared" si="22"/>
        <v>-0.35282636467555112</v>
      </c>
      <c r="AD20" s="1">
        <f t="shared" si="23"/>
        <v>0.62107801889113268</v>
      </c>
      <c r="AE20" s="5">
        <f t="shared" si="16"/>
        <v>-1.2412644716616406E-2</v>
      </c>
      <c r="AF20" s="10">
        <f t="shared" si="24"/>
        <v>0.26825165421558156</v>
      </c>
    </row>
    <row r="21" spans="1:32" x14ac:dyDescent="0.3">
      <c r="A21">
        <v>2019</v>
      </c>
      <c r="B21" s="1">
        <v>13842.772999999999</v>
      </c>
      <c r="C21" s="1">
        <v>4.6081404958677696</v>
      </c>
      <c r="D21" s="1">
        <v>15847.115984</v>
      </c>
      <c r="G21">
        <v>2019</v>
      </c>
      <c r="H21">
        <f t="shared" si="0"/>
        <v>4.6081404958677696</v>
      </c>
      <c r="I21">
        <f t="shared" si="1"/>
        <v>0.77125968205589723</v>
      </c>
      <c r="J21">
        <f t="shared" si="2"/>
        <v>17948.264795976644</v>
      </c>
      <c r="K21">
        <f t="shared" si="3"/>
        <v>0.88293303916222332</v>
      </c>
      <c r="L21">
        <f t="shared" si="4"/>
        <v>2.0800412659060266</v>
      </c>
      <c r="M21" s="3">
        <f t="shared" si="5"/>
        <v>78.98821994467616</v>
      </c>
      <c r="N21">
        <f t="shared" si="6"/>
        <v>37.974352355105992</v>
      </c>
      <c r="O21">
        <f t="shared" si="7"/>
        <v>15847.115984</v>
      </c>
      <c r="P21">
        <f t="shared" si="8"/>
        <v>13842.772999999999</v>
      </c>
      <c r="Q21">
        <f t="shared" si="9"/>
        <v>0.45138408166401423</v>
      </c>
      <c r="R21" s="4">
        <f t="shared" si="10"/>
        <v>4.4747183262075101</v>
      </c>
      <c r="S21" s="5">
        <f t="shared" si="17"/>
        <v>7.4213535820275567E-2</v>
      </c>
      <c r="T21" s="10">
        <f t="shared" si="18"/>
        <v>-0.15325950413223044</v>
      </c>
      <c r="U21">
        <f t="shared" si="19"/>
        <v>-0.22747303995250601</v>
      </c>
      <c r="V21">
        <f t="shared" si="20"/>
        <v>0.35725691492290174</v>
      </c>
      <c r="W21">
        <f t="shared" si="11"/>
        <v>0.53594814540908697</v>
      </c>
      <c r="X21">
        <f t="shared" si="12"/>
        <v>3.9410442780891008</v>
      </c>
      <c r="Y21">
        <f t="shared" si="13"/>
        <v>4.9541723221861718</v>
      </c>
      <c r="Z21">
        <f t="shared" si="14"/>
        <v>-0.46945725413839767</v>
      </c>
      <c r="AA21">
        <f t="shared" si="15"/>
        <v>0.54367078995867324</v>
      </c>
      <c r="AB21">
        <f t="shared" si="21"/>
        <v>1.0131280440970709</v>
      </c>
      <c r="AC21" s="1">
        <f t="shared" si="22"/>
        <v>-0.57486235998737345</v>
      </c>
      <c r="AD21" s="1">
        <f t="shared" si="23"/>
        <v>0.42160285585514296</v>
      </c>
      <c r="AE21" s="5">
        <f t="shared" si="16"/>
        <v>7.4213535820275567E-2</v>
      </c>
      <c r="AF21" s="10">
        <f t="shared" si="24"/>
        <v>-0.1532595041322305</v>
      </c>
    </row>
    <row r="22" spans="1:32" x14ac:dyDescent="0.3">
      <c r="A22">
        <v>2020</v>
      </c>
      <c r="B22" s="1">
        <v>14880.71032</v>
      </c>
      <c r="C22" s="1">
        <v>5.6760900000000012</v>
      </c>
      <c r="D22" s="1">
        <v>16115.212063999999</v>
      </c>
      <c r="G22">
        <v>2020</v>
      </c>
      <c r="H22">
        <f t="shared" si="0"/>
        <v>5.6760900000000012</v>
      </c>
      <c r="I22">
        <f t="shared" si="1"/>
        <v>0.74440901443675067</v>
      </c>
      <c r="J22">
        <f t="shared" si="2"/>
        <v>19989.965236059554</v>
      </c>
      <c r="K22">
        <f t="shared" si="3"/>
        <v>0.80616508701726231</v>
      </c>
      <c r="L22">
        <f t="shared" si="4"/>
        <v>3.5517888623292131</v>
      </c>
      <c r="M22" s="3">
        <f t="shared" si="5"/>
        <v>134.87688174903056</v>
      </c>
      <c r="N22">
        <f t="shared" si="6"/>
        <v>37.974352355105992</v>
      </c>
      <c r="O22">
        <f t="shared" si="7"/>
        <v>16115.212063999999</v>
      </c>
      <c r="P22">
        <f t="shared" si="8"/>
        <v>14880.71032</v>
      </c>
      <c r="Q22">
        <f t="shared" si="9"/>
        <v>0.62574569154633053</v>
      </c>
      <c r="R22" s="4">
        <f t="shared" si="10"/>
        <v>6.2855109686685893</v>
      </c>
      <c r="S22" s="5">
        <f t="shared" si="17"/>
        <v>1.8107926424610792</v>
      </c>
      <c r="T22" s="10">
        <f t="shared" si="18"/>
        <v>1.0679495041322316</v>
      </c>
      <c r="U22">
        <f t="shared" si="19"/>
        <v>-0.74284313832884763</v>
      </c>
      <c r="V22">
        <f t="shared" si="20"/>
        <v>0.69064591378206341</v>
      </c>
      <c r="W22">
        <f t="shared" si="11"/>
        <v>0.40896737198822125</v>
      </c>
      <c r="X22">
        <f t="shared" si="12"/>
        <v>6.7387536947004989</v>
      </c>
      <c r="Y22">
        <f t="shared" si="13"/>
        <v>4.7715994115670544</v>
      </c>
      <c r="Z22">
        <f t="shared" si="14"/>
        <v>1.8889734627972619</v>
      </c>
      <c r="AA22">
        <f t="shared" si="15"/>
        <v>-7.8180820336182677E-2</v>
      </c>
      <c r="AB22">
        <f t="shared" si="21"/>
        <v>1.9671542831334445</v>
      </c>
      <c r="AC22" s="1">
        <f t="shared" si="22"/>
        <v>1.1756532177328638</v>
      </c>
      <c r="AD22" s="1">
        <f t="shared" si="23"/>
        <v>-0.10770371360063237</v>
      </c>
      <c r="AE22" s="5">
        <f t="shared" si="16"/>
        <v>1.8107926424610792</v>
      </c>
      <c r="AF22" s="10">
        <f t="shared" si="24"/>
        <v>1.0679495041322313</v>
      </c>
    </row>
    <row r="23" spans="1:32" x14ac:dyDescent="0.3">
      <c r="A23">
        <v>2021</v>
      </c>
      <c r="B23" s="1">
        <v>14899.488856</v>
      </c>
      <c r="C23" s="1">
        <v>7.2427745664739902</v>
      </c>
      <c r="D23" s="1">
        <v>16276.384656</v>
      </c>
      <c r="G23">
        <v>2021</v>
      </c>
      <c r="H23">
        <f t="shared" si="0"/>
        <v>7.2427745664739902</v>
      </c>
      <c r="I23">
        <f t="shared" si="1"/>
        <v>0.71419393114990859</v>
      </c>
      <c r="J23">
        <f t="shared" si="2"/>
        <v>20861.965085604475</v>
      </c>
      <c r="K23">
        <f t="shared" si="3"/>
        <v>0.78019422375657721</v>
      </c>
      <c r="L23">
        <f t="shared" si="4"/>
        <v>4.3062732537205148</v>
      </c>
      <c r="M23" s="3">
        <f t="shared" si="5"/>
        <v>163.52793787415155</v>
      </c>
      <c r="N23">
        <f t="shared" si="6"/>
        <v>37.974352355105992</v>
      </c>
      <c r="O23">
        <f t="shared" si="7"/>
        <v>16276.384656</v>
      </c>
      <c r="P23">
        <f t="shared" si="8"/>
        <v>14899.488856</v>
      </c>
      <c r="Q23">
        <f t="shared" si="9"/>
        <v>0.59456127126388547</v>
      </c>
      <c r="R23" s="4">
        <f t="shared" si="10"/>
        <v>7.2138051871225075</v>
      </c>
      <c r="S23" s="5">
        <f t="shared" si="17"/>
        <v>0.92829421845391824</v>
      </c>
      <c r="T23" s="10">
        <f t="shared" si="18"/>
        <v>1.566684566473989</v>
      </c>
      <c r="U23">
        <f t="shared" si="19"/>
        <v>0.63839034802007077</v>
      </c>
      <c r="V23">
        <f t="shared" si="20"/>
        <v>0.63040503830142625</v>
      </c>
      <c r="W23">
        <f t="shared" si="11"/>
        <v>0.59016684710535905</v>
      </c>
      <c r="X23">
        <f t="shared" si="12"/>
        <v>7.5332192256745145</v>
      </c>
      <c r="Y23">
        <f t="shared" si="13"/>
        <v>7.1746452191951597</v>
      </c>
      <c r="Z23">
        <f t="shared" si="14"/>
        <v>0.64343411246663651</v>
      </c>
      <c r="AA23">
        <f t="shared" si="15"/>
        <v>0.28486010598728173</v>
      </c>
      <c r="AB23">
        <f t="shared" si="21"/>
        <v>0.92829421845391824</v>
      </c>
      <c r="AC23" s="1">
        <f t="shared" si="22"/>
        <v>1.0859254248327623</v>
      </c>
      <c r="AD23" s="1">
        <f t="shared" si="23"/>
        <v>0.48075914164122657</v>
      </c>
      <c r="AE23" s="5">
        <f t="shared" si="16"/>
        <v>0.92829421845391824</v>
      </c>
      <c r="AF23" s="10">
        <f t="shared" si="24"/>
        <v>1.566684566473989</v>
      </c>
    </row>
    <row r="24" spans="1:32" x14ac:dyDescent="0.3">
      <c r="A24">
        <v>2022</v>
      </c>
      <c r="B24" s="1">
        <v>13705.772360000001</v>
      </c>
      <c r="C24" s="1">
        <v>7.2008963093145875</v>
      </c>
      <c r="D24" s="1">
        <v>15065.976128</v>
      </c>
      <c r="G24">
        <v>2022</v>
      </c>
      <c r="H24">
        <f t="shared" si="0"/>
        <v>7.2008963093145875</v>
      </c>
      <c r="I24">
        <f t="shared" si="1"/>
        <v>0.71489833445931716</v>
      </c>
      <c r="J24">
        <f t="shared" si="2"/>
        <v>19171.638398578416</v>
      </c>
      <c r="K24">
        <f t="shared" si="3"/>
        <v>0.78584708384220037</v>
      </c>
      <c r="L24">
        <f t="shared" si="4"/>
        <v>4.1272288768587657</v>
      </c>
      <c r="M24" s="3">
        <f t="shared" si="5"/>
        <v>156.72884362000312</v>
      </c>
      <c r="N24">
        <f t="shared" si="6"/>
        <v>37.974352355105992</v>
      </c>
      <c r="O24">
        <f t="shared" si="7"/>
        <v>15065.976128</v>
      </c>
      <c r="P24">
        <f t="shared" si="8"/>
        <v>13705.772360000001</v>
      </c>
      <c r="Q24">
        <f t="shared" si="9"/>
        <v>0.57315488233319889</v>
      </c>
      <c r="R24" s="4">
        <f t="shared" si="10"/>
        <v>6.9935145332881046</v>
      </c>
      <c r="S24" s="5">
        <f t="shared" si="17"/>
        <v>-0.22029065383440294</v>
      </c>
      <c r="T24" s="10">
        <f t="shared" si="18"/>
        <v>-4.1878257159402743E-2</v>
      </c>
      <c r="U24">
        <f t="shared" si="19"/>
        <v>0.1784123966750002</v>
      </c>
      <c r="V24">
        <f t="shared" si="20"/>
        <v>0.3637946355915293</v>
      </c>
      <c r="W24">
        <f t="shared" si="11"/>
        <v>0.93672545478035762</v>
      </c>
      <c r="X24">
        <f t="shared" si="12"/>
        <v>5.1386330546218595</v>
      </c>
      <c r="Y24">
        <f t="shared" si="13"/>
        <v>10.214662442291285</v>
      </c>
      <c r="Z24">
        <f t="shared" si="14"/>
        <v>-2.6481600207519143</v>
      </c>
      <c r="AA24">
        <f t="shared" si="15"/>
        <v>2.4278693669175113</v>
      </c>
      <c r="AB24">
        <f t="shared" si="21"/>
        <v>5.0760293876694256</v>
      </c>
      <c r="AC24" s="1">
        <f t="shared" si="22"/>
        <v>-2.5550824319520999</v>
      </c>
      <c r="AD24" s="1">
        <f t="shared" si="23"/>
        <v>2.5132041747926972</v>
      </c>
      <c r="AE24" s="5">
        <f t="shared" si="16"/>
        <v>-0.22029065383440294</v>
      </c>
      <c r="AF24" s="10">
        <f t="shared" si="24"/>
        <v>-4.1878257159402743E-2</v>
      </c>
    </row>
    <row r="25" spans="1:32" x14ac:dyDescent="0.3">
      <c r="A25">
        <v>2023</v>
      </c>
      <c r="B25" s="1">
        <v>14965.666464</v>
      </c>
      <c r="C25" s="1">
        <v>4.7430532445923461</v>
      </c>
      <c r="D25" s="1">
        <v>16729.037919999999</v>
      </c>
      <c r="G25">
        <v>2023</v>
      </c>
      <c r="H25">
        <f t="shared" si="0"/>
        <v>4.7430532445923461</v>
      </c>
      <c r="I25">
        <f t="shared" si="1"/>
        <v>0.76748543080163178</v>
      </c>
      <c r="J25">
        <f t="shared" si="2"/>
        <v>19499.609847145231</v>
      </c>
      <c r="K25">
        <f t="shared" si="3"/>
        <v>0.85791654556868746</v>
      </c>
      <c r="L25">
        <f t="shared" si="4"/>
        <v>2.4632003834625564</v>
      </c>
      <c r="M25" s="3">
        <f t="shared" si="5"/>
        <v>93.538439282839306</v>
      </c>
      <c r="N25">
        <f t="shared" si="6"/>
        <v>37.974352355105992</v>
      </c>
      <c r="O25">
        <f t="shared" si="7"/>
        <v>16729.037919999999</v>
      </c>
      <c r="P25">
        <f t="shared" si="8"/>
        <v>14965.666464</v>
      </c>
      <c r="Q25">
        <f t="shared" si="9"/>
        <v>0.51932800591494588</v>
      </c>
      <c r="R25" s="4">
        <f t="shared" si="10"/>
        <v>4.9461454327639949</v>
      </c>
      <c r="S25" s="5">
        <f t="shared" si="17"/>
        <v>-2.0473691005241097</v>
      </c>
      <c r="T25" s="10">
        <f t="shared" si="18"/>
        <v>-2.4578430647222413</v>
      </c>
      <c r="U25">
        <f t="shared" si="19"/>
        <v>-0.41047396419813165</v>
      </c>
      <c r="V25">
        <f t="shared" si="20"/>
        <v>0.96146624416965831</v>
      </c>
      <c r="W25">
        <f t="shared" si="11"/>
        <v>0.30958484910676914</v>
      </c>
      <c r="X25">
        <f t="shared" si="12"/>
        <v>7.526334094178913</v>
      </c>
      <c r="Y25">
        <f t="shared" si="13"/>
        <v>3.7221460855415973</v>
      </c>
      <c r="Z25">
        <f t="shared" si="14"/>
        <v>0.87840945405660298</v>
      </c>
      <c r="AA25">
        <f t="shared" si="15"/>
        <v>-2.9257785545807127</v>
      </c>
      <c r="AB25">
        <f t="shared" si="21"/>
        <v>3.8041880086373157</v>
      </c>
      <c r="AC25" s="1">
        <f t="shared" si="22"/>
        <v>0.78362859412615837</v>
      </c>
      <c r="AD25" s="1">
        <f t="shared" si="23"/>
        <v>-3.2414716588483996</v>
      </c>
      <c r="AE25" s="5">
        <f t="shared" si="16"/>
        <v>-2.0473691005241097</v>
      </c>
      <c r="AF25" s="10">
        <f t="shared" si="24"/>
        <v>-2.4578430647222413</v>
      </c>
    </row>
    <row r="26" spans="1:32" x14ac:dyDescent="0.3">
      <c r="A26">
        <v>2024</v>
      </c>
      <c r="B26" s="1">
        <v>15145.066440000001</v>
      </c>
      <c r="C26" s="1">
        <v>4.3227990235964207</v>
      </c>
      <c r="D26" s="1">
        <v>16676.678479999999</v>
      </c>
      <c r="G26">
        <v>2024</v>
      </c>
      <c r="H26">
        <f t="shared" si="0"/>
        <v>4.3227990235964207</v>
      </c>
      <c r="I26">
        <f t="shared" si="1"/>
        <v>0.77968637033080779</v>
      </c>
      <c r="J26">
        <f t="shared" si="2"/>
        <v>19424.562255172172</v>
      </c>
      <c r="K26">
        <f t="shared" si="3"/>
        <v>0.858535613875134</v>
      </c>
      <c r="L26">
        <f t="shared" si="4"/>
        <v>2.452770807723947</v>
      </c>
      <c r="M26" s="3">
        <f t="shared" si="5"/>
        <v>93.14238289882708</v>
      </c>
      <c r="N26">
        <f t="shared" si="6"/>
        <v>37.974352355105992</v>
      </c>
      <c r="O26">
        <f t="shared" si="7"/>
        <v>16676.678479999999</v>
      </c>
      <c r="P26">
        <f t="shared" si="8"/>
        <v>15145.066440000001</v>
      </c>
      <c r="Q26">
        <f t="shared" si="9"/>
        <v>0.56740338709601235</v>
      </c>
      <c r="R26" s="4">
        <f t="shared" si="10"/>
        <v>4.9333132059219942</v>
      </c>
      <c r="S26" s="5">
        <f t="shared" si="17"/>
        <v>-1.2832226842000694E-2</v>
      </c>
      <c r="T26" s="10">
        <f t="shared" si="18"/>
        <v>-0.42025422099592546</v>
      </c>
      <c r="U26">
        <f t="shared" si="19"/>
        <v>-0.40742199415392477</v>
      </c>
      <c r="V26">
        <f t="shared" si="20"/>
        <v>0.55703647147752822</v>
      </c>
      <c r="W26">
        <f t="shared" si="11"/>
        <v>0.52899313538367798</v>
      </c>
      <c r="X26">
        <f t="shared" si="12"/>
        <v>4.8781753347537231</v>
      </c>
      <c r="Y26">
        <f t="shared" si="13"/>
        <v>4.7290229822532091</v>
      </c>
      <c r="Z26">
        <f t="shared" si="14"/>
        <v>6.8160062829256685E-2</v>
      </c>
      <c r="AA26">
        <f t="shared" si="15"/>
        <v>-8.0992289671257378E-2</v>
      </c>
      <c r="AB26">
        <f t="shared" si="21"/>
        <v>0.14915235250051406</v>
      </c>
      <c r="AC26" s="1">
        <f t="shared" si="22"/>
        <v>-0.11802478946435266</v>
      </c>
      <c r="AD26" s="1">
        <f t="shared" si="23"/>
        <v>-0.30222943153157278</v>
      </c>
      <c r="AE26" s="5">
        <f t="shared" si="16"/>
        <v>-1.2832226842000694E-2</v>
      </c>
      <c r="AF26" s="10">
        <f t="shared" si="24"/>
        <v>-0.42025422099592546</v>
      </c>
    </row>
    <row r="27" spans="1:32" x14ac:dyDescent="0.3">
      <c r="A27">
        <v>2025</v>
      </c>
      <c r="B27" s="1">
        <v>16279.888408000001</v>
      </c>
      <c r="C27" s="1">
        <v>4</v>
      </c>
      <c r="D27" s="1">
        <v>18308.678919999998</v>
      </c>
      <c r="G27">
        <v>2025</v>
      </c>
      <c r="H27">
        <f t="shared" si="0"/>
        <v>4</v>
      </c>
      <c r="I27">
        <f t="shared" si="1"/>
        <v>0.79004131186337712</v>
      </c>
      <c r="J27">
        <f t="shared" si="2"/>
        <v>20606.376101526326</v>
      </c>
      <c r="K27">
        <f t="shared" si="3"/>
        <v>0.88849581458643101</v>
      </c>
      <c r="L27">
        <f t="shared" si="4"/>
        <v>2.0045972916249073</v>
      </c>
      <c r="M27" s="3">
        <f t="shared" si="5"/>
        <v>76.123283882255379</v>
      </c>
      <c r="N27">
        <f t="shared" si="6"/>
        <v>37.974352355105992</v>
      </c>
      <c r="O27">
        <f t="shared" si="7"/>
        <v>18308.678919999998</v>
      </c>
      <c r="P27">
        <f t="shared" si="8"/>
        <v>16279.888408000001</v>
      </c>
      <c r="Q27">
        <f t="shared" si="9"/>
        <v>0.50114932290622671</v>
      </c>
      <c r="R27" s="4">
        <f t="shared" si="10"/>
        <v>4.3818943977850742</v>
      </c>
      <c r="S27" s="5">
        <f t="shared" si="17"/>
        <v>-0.55141880813692001</v>
      </c>
      <c r="T27" s="10">
        <f t="shared" si="18"/>
        <v>-0.32279902359642065</v>
      </c>
      <c r="U27">
        <f t="shared" si="19"/>
        <v>0.22861978454049936</v>
      </c>
      <c r="V27">
        <f t="shared" si="20"/>
        <v>0.86792375584651005</v>
      </c>
      <c r="W27">
        <f t="shared" si="11"/>
        <v>0.32762534881941108</v>
      </c>
      <c r="X27">
        <f t="shared" si="12"/>
        <v>6.1869659908359536</v>
      </c>
      <c r="Y27">
        <f t="shared" si="13"/>
        <v>3.527900312574654</v>
      </c>
      <c r="Z27">
        <f t="shared" si="14"/>
        <v>1.0538234350621898</v>
      </c>
      <c r="AA27">
        <f t="shared" si="15"/>
        <v>-1.6052422431991098</v>
      </c>
      <c r="AB27">
        <f t="shared" si="21"/>
        <v>2.6590656782612996</v>
      </c>
      <c r="AC27" s="1">
        <f t="shared" si="22"/>
        <v>1.1444285256537023</v>
      </c>
      <c r="AD27" s="1">
        <f t="shared" si="23"/>
        <v>-1.467227549250123</v>
      </c>
      <c r="AE27" s="5">
        <f t="shared" si="16"/>
        <v>-0.55141880813692001</v>
      </c>
      <c r="AF27" s="10">
        <f t="shared" si="24"/>
        <v>-0.32279902359642065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6EF2-86FC-4974-9C8C-23C37BFE51F5}">
  <dimension ref="A1:AF35"/>
  <sheetViews>
    <sheetView tabSelected="1" topLeftCell="L1" workbookViewId="0"/>
  </sheetViews>
  <sheetFormatPr defaultRowHeight="14.4" x14ac:dyDescent="0.3"/>
  <cols>
    <col min="16" max="16" width="10.33203125" customWidth="1"/>
    <col min="24" max="24" width="12" bestFit="1" customWidth="1"/>
    <col min="25" max="25" width="11" bestFit="1" customWidth="1"/>
    <col min="29" max="29" width="12.6640625" bestFit="1" customWidth="1"/>
    <col min="30" max="30" width="12.88671875" bestFit="1" customWidth="1"/>
  </cols>
  <sheetData>
    <row r="1" spans="1:32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>
        <v>-0.17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23</v>
      </c>
      <c r="P1" s="2" t="s">
        <v>24</v>
      </c>
      <c r="Q1" s="2" t="s">
        <v>12</v>
      </c>
      <c r="R1" s="2" t="s">
        <v>13</v>
      </c>
      <c r="S1" s="2" t="s">
        <v>14</v>
      </c>
      <c r="T1" s="2" t="s">
        <v>25</v>
      </c>
      <c r="U1" s="2" t="s">
        <v>47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8</v>
      </c>
      <c r="AB1" s="2" t="s">
        <v>49</v>
      </c>
      <c r="AC1" s="2" t="s">
        <v>45</v>
      </c>
      <c r="AD1" s="2" t="s">
        <v>46</v>
      </c>
    </row>
    <row r="2" spans="1:32" x14ac:dyDescent="0.3">
      <c r="A2">
        <v>2000</v>
      </c>
      <c r="B2" s="1">
        <v>9740.2337200000002</v>
      </c>
      <c r="C2" s="1">
        <v>3.6736133122028529</v>
      </c>
      <c r="D2" s="1">
        <v>11639.34604</v>
      </c>
      <c r="E2" t="s">
        <v>20</v>
      </c>
      <c r="F2">
        <f>1/F1</f>
        <v>-5.8823529411764701</v>
      </c>
      <c r="G2">
        <v>2000</v>
      </c>
      <c r="H2">
        <f>C2</f>
        <v>3.6736133122028529</v>
      </c>
      <c r="I2">
        <f>H2^$F$1</f>
        <v>0.8015564537064388</v>
      </c>
      <c r="J2">
        <f>B2/I2</f>
        <v>12151.65029856681</v>
      </c>
      <c r="K2">
        <f>D2/J2</f>
        <v>0.95784076681113572</v>
      </c>
      <c r="L2">
        <f>K2^$F$2</f>
        <v>1.2883661645613214</v>
      </c>
      <c r="M2" s="3">
        <f>100*L2/$L$11</f>
        <v>48.924870695448078</v>
      </c>
      <c r="N2">
        <f>100*$K$11^-$F$2</f>
        <v>37.974352355105992</v>
      </c>
      <c r="O2">
        <f>D2</f>
        <v>11639.34604</v>
      </c>
      <c r="P2">
        <f>B2</f>
        <v>9740.2337200000002</v>
      </c>
      <c r="Q2">
        <f>(D2/B2)^$F$2</f>
        <v>0.35070815980595504</v>
      </c>
      <c r="R2" s="4">
        <f>$F$3+$F$4*(N2*H2)*Q2</f>
        <v>3.500665810532519</v>
      </c>
    </row>
    <row r="3" spans="1:32" x14ac:dyDescent="0.3">
      <c r="A3">
        <v>2001</v>
      </c>
      <c r="B3" s="1">
        <v>9815.3872319999991</v>
      </c>
      <c r="C3" s="1">
        <v>3.7917204301075276</v>
      </c>
      <c r="D3" s="1">
        <v>11411.799000000001</v>
      </c>
      <c r="E3" t="s">
        <v>21</v>
      </c>
      <c r="F3" s="1">
        <v>1.9155</v>
      </c>
      <c r="G3">
        <v>2001</v>
      </c>
      <c r="H3">
        <f t="shared" ref="H3:H27" si="0">C3</f>
        <v>3.7917204301075276</v>
      </c>
      <c r="I3">
        <f t="shared" ref="I3:I27" si="1">H3^$F$1</f>
        <v>0.79725605726351467</v>
      </c>
      <c r="J3">
        <f t="shared" ref="J3:J27" si="2">B3/I3</f>
        <v>12311.461471600645</v>
      </c>
      <c r="K3">
        <f t="shared" ref="K3:K27" si="3">D3/J3</f>
        <v>0.92692480306453195</v>
      </c>
      <c r="L3">
        <f t="shared" ref="L3:L27" si="4">K3^$F$2</f>
        <v>1.5626289377873346</v>
      </c>
      <c r="M3" s="3">
        <f t="shared" ref="M3:M27" si="5">100*L3/$L$11</f>
        <v>59.339821883821237</v>
      </c>
      <c r="N3">
        <f t="shared" ref="N3:N27" si="6">100*$K$11^-$F$2</f>
        <v>37.974352355105992</v>
      </c>
      <c r="O3">
        <f t="shared" ref="O3:O27" si="7">D3</f>
        <v>11411.799000000001</v>
      </c>
      <c r="P3">
        <f t="shared" ref="P3:P27" si="8">B3</f>
        <v>9815.3872319999991</v>
      </c>
      <c r="Q3">
        <f t="shared" ref="Q3:Q27" si="9">(D3/B3)^$F$2</f>
        <v>0.41211607411230478</v>
      </c>
      <c r="R3" s="4">
        <f t="shared" ref="R3:R27" si="10">$F$3+$F$4*(N3*H3)*Q3</f>
        <v>3.8381102290358076</v>
      </c>
      <c r="S3" s="5">
        <f>R3-R2</f>
        <v>0.33744441850328855</v>
      </c>
      <c r="T3" s="10">
        <f>H3-H2</f>
        <v>0.11810711790467465</v>
      </c>
      <c r="U3">
        <f>T3-S3</f>
        <v>-0.21933730059861389</v>
      </c>
      <c r="V3">
        <f>(D2/B3)^$F$2</f>
        <v>0.36692856003193935</v>
      </c>
      <c r="W3">
        <f t="shared" ref="W3:W27" si="11">(D3/B2)^$F$2</f>
        <v>0.39389812002042091</v>
      </c>
      <c r="X3">
        <f t="shared" ref="X3:X27" si="12">$F$3+$F$4*(N3*H3)*V3</f>
        <v>3.6273007453660799</v>
      </c>
      <c r="Y3">
        <f t="shared" ref="Y3:Y27" si="13">$F$3+$F$4*(N3*H3)*W3</f>
        <v>3.7531195502213341</v>
      </c>
      <c r="Z3">
        <f t="shared" ref="Z3:Z27" si="14">0.5*((X3-R2)+(R3-Y3))</f>
        <v>0.10581280682401717</v>
      </c>
      <c r="AA3">
        <f t="shared" ref="AA3:AA27" si="15">0.5*((Y3-R2)+(R3-X3))</f>
        <v>0.23163161167927138</v>
      </c>
      <c r="AB3">
        <f>ABS(Z3)+ABS(AA3)</f>
        <v>0.33744441850328855</v>
      </c>
      <c r="AC3" s="1">
        <f>Z3+U3*(ABS(Z3)/AB3)</f>
        <v>3.7034975142927029E-2</v>
      </c>
      <c r="AD3" s="1">
        <f>AA3+U3*(ABS(AA3)/AB3)</f>
        <v>8.1072142761747623E-2</v>
      </c>
      <c r="AE3" s="5">
        <f t="shared" ref="AE3:AE27" si="16">Z3+AA3</f>
        <v>0.33744441850328855</v>
      </c>
      <c r="AF3" s="10">
        <f>AD3+AC3</f>
        <v>0.11810711790467465</v>
      </c>
    </row>
    <row r="4" spans="1:32" x14ac:dyDescent="0.3">
      <c r="A4">
        <v>2002</v>
      </c>
      <c r="B4" s="1">
        <v>9490.9161760000006</v>
      </c>
      <c r="C4" s="1">
        <v>4.384555052790347</v>
      </c>
      <c r="D4" s="1">
        <v>10577.59108</v>
      </c>
      <c r="E4" t="s">
        <v>22</v>
      </c>
      <c r="F4" s="1">
        <v>3.2399999999999998E-2</v>
      </c>
      <c r="G4">
        <v>2002</v>
      </c>
      <c r="H4">
        <f t="shared" si="0"/>
        <v>4.384555052790347</v>
      </c>
      <c r="I4">
        <f t="shared" si="1"/>
        <v>0.77780845604991511</v>
      </c>
      <c r="J4">
        <f t="shared" si="2"/>
        <v>12202.125217562472</v>
      </c>
      <c r="K4">
        <f t="shared" si="3"/>
        <v>0.86686465606628205</v>
      </c>
      <c r="L4">
        <f t="shared" si="4"/>
        <v>2.3173539651052319</v>
      </c>
      <c r="M4" s="3">
        <f t="shared" si="5"/>
        <v>88.00001600240806</v>
      </c>
      <c r="N4">
        <f t="shared" si="6"/>
        <v>37.974352355105992</v>
      </c>
      <c r="O4">
        <f t="shared" si="7"/>
        <v>10577.59108</v>
      </c>
      <c r="P4">
        <f t="shared" si="8"/>
        <v>9490.9161760000006</v>
      </c>
      <c r="Q4">
        <f t="shared" si="9"/>
        <v>0.52852659784268341</v>
      </c>
      <c r="R4" s="4">
        <f t="shared" si="10"/>
        <v>4.766700518478018</v>
      </c>
      <c r="S4" s="5">
        <f t="shared" ref="S4:S27" si="17">R4-R3</f>
        <v>0.92859028944221045</v>
      </c>
      <c r="T4" s="10">
        <f t="shared" ref="T4:T27" si="18">H4-H3</f>
        <v>0.59283462268281939</v>
      </c>
      <c r="U4">
        <f t="shared" ref="U4:U27" si="19">T4-S4</f>
        <v>-0.33575566675939106</v>
      </c>
      <c r="V4">
        <f t="shared" ref="V4:V27" si="20">(D3/B4)^$F$2</f>
        <v>0.33817485921426155</v>
      </c>
      <c r="W4">
        <f t="shared" si="11"/>
        <v>0.64408781620533351</v>
      </c>
      <c r="X4">
        <f t="shared" si="12"/>
        <v>3.7398250914212832</v>
      </c>
      <c r="Y4">
        <f t="shared" si="13"/>
        <v>5.3901094576996762</v>
      </c>
      <c r="Z4">
        <f t="shared" si="14"/>
        <v>-0.36084703841809129</v>
      </c>
      <c r="AA4">
        <f t="shared" si="15"/>
        <v>1.2894373278603017</v>
      </c>
      <c r="AB4">
        <f t="shared" ref="AB4:AB27" si="21">ABS(Z4)+ABS(AA4)</f>
        <v>1.650284366278393</v>
      </c>
      <c r="AC4" s="1">
        <f t="shared" ref="AC4:AC27" si="22">Z4+U4*(ABS(Z4)/AB4)</f>
        <v>-0.43426252998906306</v>
      </c>
      <c r="AD4" s="1">
        <f t="shared" ref="AD4:AD27" si="23">AA4+U4*(ABS(AA4)/AB4)</f>
        <v>1.0270971526718824</v>
      </c>
      <c r="AE4" s="5">
        <f t="shared" si="16"/>
        <v>0.92859028944221045</v>
      </c>
      <c r="AF4" s="10">
        <f t="shared" ref="AF4:AF27" si="24">AD4+AC4</f>
        <v>0.59283462268281939</v>
      </c>
    </row>
    <row r="5" spans="1:32" x14ac:dyDescent="0.3">
      <c r="A5">
        <v>2003</v>
      </c>
      <c r="B5" s="1">
        <v>10229.892904</v>
      </c>
      <c r="C5" s="1">
        <v>4.4789660265878872</v>
      </c>
      <c r="D5" s="1">
        <v>11187.99192</v>
      </c>
      <c r="G5">
        <v>2003</v>
      </c>
      <c r="H5">
        <f t="shared" si="0"/>
        <v>4.4789660265878872</v>
      </c>
      <c r="I5">
        <f t="shared" si="1"/>
        <v>0.77499656820133334</v>
      </c>
      <c r="J5">
        <f t="shared" si="2"/>
        <v>13199.920262540332</v>
      </c>
      <c r="K5">
        <f t="shared" si="3"/>
        <v>0.84758026544676002</v>
      </c>
      <c r="L5">
        <f t="shared" si="4"/>
        <v>2.6452435786475901</v>
      </c>
      <c r="M5" s="3">
        <f t="shared" si="5"/>
        <v>100.4514117206451</v>
      </c>
      <c r="N5">
        <f t="shared" si="6"/>
        <v>37.974352355105992</v>
      </c>
      <c r="O5">
        <f t="shared" si="7"/>
        <v>11187.99192</v>
      </c>
      <c r="P5">
        <f t="shared" si="8"/>
        <v>10229.892904</v>
      </c>
      <c r="Q5">
        <f t="shared" si="9"/>
        <v>0.59059246329286397</v>
      </c>
      <c r="R5" s="4">
        <f t="shared" si="10"/>
        <v>5.1701257397489035</v>
      </c>
      <c r="S5" s="5">
        <f t="shared" si="17"/>
        <v>0.40342522127088554</v>
      </c>
      <c r="T5" s="10">
        <f t="shared" si="18"/>
        <v>9.4410973797540265E-2</v>
      </c>
      <c r="U5">
        <f t="shared" si="19"/>
        <v>-0.30901424747334527</v>
      </c>
      <c r="V5">
        <f t="shared" si="20"/>
        <v>0.82151142783074516</v>
      </c>
      <c r="W5">
        <f t="shared" si="11"/>
        <v>0.37996285232445709</v>
      </c>
      <c r="X5">
        <f t="shared" si="12"/>
        <v>6.4426695876518014</v>
      </c>
      <c r="Y5">
        <f t="shared" si="13"/>
        <v>4.0093920764899158</v>
      </c>
      <c r="Z5">
        <f t="shared" si="14"/>
        <v>1.4183513662163856</v>
      </c>
      <c r="AA5">
        <f t="shared" si="15"/>
        <v>-1.0149261449455</v>
      </c>
      <c r="AB5">
        <f t="shared" si="21"/>
        <v>2.4332775111618856</v>
      </c>
      <c r="AC5" s="1">
        <f t="shared" si="22"/>
        <v>1.2382277354041875</v>
      </c>
      <c r="AD5" s="1">
        <f t="shared" si="23"/>
        <v>-1.1438167616066472</v>
      </c>
      <c r="AE5" s="5">
        <f t="shared" si="16"/>
        <v>0.40342522127088554</v>
      </c>
      <c r="AF5" s="10">
        <f t="shared" si="24"/>
        <v>9.4410973797540265E-2</v>
      </c>
    </row>
    <row r="6" spans="1:32" x14ac:dyDescent="0.3">
      <c r="A6">
        <v>2004</v>
      </c>
      <c r="B6" s="1">
        <v>10660.500088000001</v>
      </c>
      <c r="C6" s="1">
        <v>3.6874000000000007</v>
      </c>
      <c r="D6" s="1">
        <v>12774.443584000001</v>
      </c>
      <c r="G6">
        <v>2004</v>
      </c>
      <c r="H6">
        <f t="shared" si="0"/>
        <v>3.6874000000000007</v>
      </c>
      <c r="I6">
        <f t="shared" si="1"/>
        <v>0.80104618656105331</v>
      </c>
      <c r="J6">
        <f t="shared" si="2"/>
        <v>13308.221506884971</v>
      </c>
      <c r="K6">
        <f t="shared" si="3"/>
        <v>0.95989111523212756</v>
      </c>
      <c r="L6">
        <f t="shared" si="4"/>
        <v>1.2722622352378288</v>
      </c>
      <c r="M6" s="3">
        <f t="shared" si="5"/>
        <v>48.313334409016051</v>
      </c>
      <c r="N6">
        <f t="shared" si="6"/>
        <v>37.974352355105992</v>
      </c>
      <c r="O6">
        <f t="shared" si="7"/>
        <v>12774.443584000001</v>
      </c>
      <c r="P6">
        <f t="shared" si="8"/>
        <v>10660.500088000001</v>
      </c>
      <c r="Q6">
        <f t="shared" si="9"/>
        <v>0.34502962391870384</v>
      </c>
      <c r="R6" s="4">
        <f t="shared" si="10"/>
        <v>3.4808520348521204</v>
      </c>
      <c r="S6" s="5">
        <f t="shared" si="17"/>
        <v>-1.6892737048967832</v>
      </c>
      <c r="T6" s="10">
        <f t="shared" si="18"/>
        <v>-0.79156602658788655</v>
      </c>
      <c r="U6">
        <f t="shared" si="19"/>
        <v>0.89770767830889664</v>
      </c>
      <c r="V6">
        <f t="shared" si="20"/>
        <v>0.75269702617975021</v>
      </c>
      <c r="W6">
        <f t="shared" si="11"/>
        <v>0.27072233370362125</v>
      </c>
      <c r="X6">
        <f t="shared" si="12"/>
        <v>5.3303830705482511</v>
      </c>
      <c r="Y6">
        <f t="shared" si="13"/>
        <v>3.1437300607403165</v>
      </c>
      <c r="Z6">
        <f t="shared" si="14"/>
        <v>0.24868965245557573</v>
      </c>
      <c r="AA6">
        <f t="shared" si="15"/>
        <v>-1.9379633573523589</v>
      </c>
      <c r="AB6">
        <f t="shared" si="21"/>
        <v>2.1866530098079346</v>
      </c>
      <c r="AC6" s="1">
        <f t="shared" si="22"/>
        <v>0.35078660589262362</v>
      </c>
      <c r="AD6" s="1">
        <f t="shared" si="23"/>
        <v>-1.14235263248051</v>
      </c>
      <c r="AE6" s="5">
        <f t="shared" si="16"/>
        <v>-1.6892737048967832</v>
      </c>
      <c r="AF6" s="10">
        <f t="shared" si="24"/>
        <v>-0.79156602658788633</v>
      </c>
    </row>
    <row r="7" spans="1:32" x14ac:dyDescent="0.3">
      <c r="A7">
        <v>2005</v>
      </c>
      <c r="B7" s="1">
        <v>11267.751488</v>
      </c>
      <c r="C7" s="1">
        <v>3.4951185495118553</v>
      </c>
      <c r="D7" s="1">
        <v>13234.891712000001</v>
      </c>
      <c r="G7">
        <v>2005</v>
      </c>
      <c r="H7">
        <f t="shared" si="0"/>
        <v>3.4951185495118553</v>
      </c>
      <c r="I7">
        <f t="shared" si="1"/>
        <v>0.80837239630090485</v>
      </c>
      <c r="J7">
        <f t="shared" si="2"/>
        <v>13938.812779309381</v>
      </c>
      <c r="K7">
        <f t="shared" si="3"/>
        <v>0.94949920926161857</v>
      </c>
      <c r="L7">
        <f t="shared" si="4"/>
        <v>1.3563902595578872</v>
      </c>
      <c r="M7" s="3">
        <f t="shared" si="5"/>
        <v>51.50804164748488</v>
      </c>
      <c r="N7">
        <f t="shared" si="6"/>
        <v>37.974352355105992</v>
      </c>
      <c r="O7">
        <f t="shared" si="7"/>
        <v>13234.891712000001</v>
      </c>
      <c r="P7">
        <f t="shared" si="8"/>
        <v>11267.751488</v>
      </c>
      <c r="Q7">
        <f t="shared" si="9"/>
        <v>0.38808133124621141</v>
      </c>
      <c r="R7" s="4">
        <f t="shared" si="10"/>
        <v>3.5843605493785118</v>
      </c>
      <c r="S7" s="5">
        <f t="shared" si="17"/>
        <v>0.10350851452639143</v>
      </c>
      <c r="T7" s="10">
        <f t="shared" si="18"/>
        <v>-0.19228145048814538</v>
      </c>
      <c r="U7">
        <f t="shared" si="19"/>
        <v>-0.2957899650145368</v>
      </c>
      <c r="V7">
        <f t="shared" si="20"/>
        <v>0.47795160616887927</v>
      </c>
      <c r="W7">
        <f t="shared" si="11"/>
        <v>0.28015295699715287</v>
      </c>
      <c r="X7">
        <f t="shared" si="12"/>
        <v>3.9708283959472208</v>
      </c>
      <c r="Y7">
        <f t="shared" si="13"/>
        <v>3.1202377188253942</v>
      </c>
      <c r="Z7">
        <f t="shared" si="14"/>
        <v>0.477049595824109</v>
      </c>
      <c r="AA7">
        <f t="shared" si="15"/>
        <v>-0.37354108129771757</v>
      </c>
      <c r="AB7">
        <f t="shared" si="21"/>
        <v>0.85059067712182657</v>
      </c>
      <c r="AC7" s="1">
        <f t="shared" si="22"/>
        <v>0.31115724941786915</v>
      </c>
      <c r="AD7" s="1">
        <f t="shared" si="23"/>
        <v>-0.50343869990601453</v>
      </c>
      <c r="AE7" s="5">
        <f t="shared" si="16"/>
        <v>0.10350851452639143</v>
      </c>
      <c r="AF7" s="10">
        <f t="shared" si="24"/>
        <v>-0.19228145048814538</v>
      </c>
    </row>
    <row r="8" spans="1:32" x14ac:dyDescent="0.3">
      <c r="A8">
        <v>2006</v>
      </c>
      <c r="B8" s="1">
        <v>11206.534248</v>
      </c>
      <c r="C8" s="1">
        <v>5.1895367847411444</v>
      </c>
      <c r="D8" s="1">
        <v>12510.1662</v>
      </c>
      <c r="G8">
        <v>2006</v>
      </c>
      <c r="H8">
        <f t="shared" si="0"/>
        <v>5.1895367847411444</v>
      </c>
      <c r="I8">
        <f t="shared" si="1"/>
        <v>0.75583698444949521</v>
      </c>
      <c r="J8">
        <f t="shared" si="2"/>
        <v>14826.655057323167</v>
      </c>
      <c r="K8">
        <f t="shared" si="3"/>
        <v>0.84376187020153215</v>
      </c>
      <c r="L8">
        <f t="shared" si="4"/>
        <v>2.7164431093477028</v>
      </c>
      <c r="M8" s="3">
        <f t="shared" si="5"/>
        <v>103.15516778696936</v>
      </c>
      <c r="N8">
        <f t="shared" si="6"/>
        <v>37.974352355105992</v>
      </c>
      <c r="O8">
        <f t="shared" si="7"/>
        <v>12510.1662</v>
      </c>
      <c r="P8">
        <f t="shared" si="8"/>
        <v>11206.534248</v>
      </c>
      <c r="Q8">
        <f t="shared" si="9"/>
        <v>0.52344616138667588</v>
      </c>
      <c r="R8" s="4">
        <f t="shared" si="10"/>
        <v>5.2577274362978095</v>
      </c>
      <c r="S8" s="5">
        <f t="shared" si="17"/>
        <v>1.6733668869192977</v>
      </c>
      <c r="T8" s="10">
        <f t="shared" si="18"/>
        <v>1.6944182352292891</v>
      </c>
      <c r="U8">
        <f t="shared" si="19"/>
        <v>2.1051348309991447E-2</v>
      </c>
      <c r="V8">
        <f t="shared" si="20"/>
        <v>0.37584214085500867</v>
      </c>
      <c r="W8">
        <f t="shared" si="11"/>
        <v>0.54049203392822021</v>
      </c>
      <c r="X8">
        <f t="shared" si="12"/>
        <v>4.3152690833280998</v>
      </c>
      <c r="Y8">
        <f t="shared" si="13"/>
        <v>5.3665661041238586</v>
      </c>
      <c r="Z8">
        <f t="shared" si="14"/>
        <v>0.31103493306176944</v>
      </c>
      <c r="AA8">
        <f t="shared" si="15"/>
        <v>1.3623319538575283</v>
      </c>
      <c r="AB8">
        <f t="shared" si="21"/>
        <v>1.6733668869192977</v>
      </c>
      <c r="AC8" s="1">
        <f t="shared" si="22"/>
        <v>0.3149478255443694</v>
      </c>
      <c r="AD8" s="1">
        <f t="shared" si="23"/>
        <v>1.3794704096849197</v>
      </c>
      <c r="AE8" s="5">
        <f t="shared" si="16"/>
        <v>1.6733668869192977</v>
      </c>
      <c r="AF8" s="10">
        <f t="shared" si="24"/>
        <v>1.6944182352292891</v>
      </c>
    </row>
    <row r="9" spans="1:32" x14ac:dyDescent="0.3">
      <c r="A9">
        <v>2007</v>
      </c>
      <c r="B9" s="1">
        <v>12737.31956</v>
      </c>
      <c r="C9" s="1">
        <v>6.8972477064220197</v>
      </c>
      <c r="D9" s="1">
        <v>14361.446400000001</v>
      </c>
      <c r="G9">
        <v>2007</v>
      </c>
      <c r="H9">
        <f t="shared" si="0"/>
        <v>6.8972477064220197</v>
      </c>
      <c r="I9">
        <f t="shared" si="1"/>
        <v>0.72015355684685911</v>
      </c>
      <c r="J9">
        <f t="shared" si="2"/>
        <v>17686.949455293179</v>
      </c>
      <c r="K9">
        <f t="shared" si="3"/>
        <v>0.81197984063340245</v>
      </c>
      <c r="L9">
        <f t="shared" si="4"/>
        <v>3.404762183127084</v>
      </c>
      <c r="M9" s="3">
        <f t="shared" si="5"/>
        <v>129.29363882740779</v>
      </c>
      <c r="N9">
        <f t="shared" si="6"/>
        <v>37.974352355105992</v>
      </c>
      <c r="O9">
        <f t="shared" si="7"/>
        <v>14361.446400000001</v>
      </c>
      <c r="P9">
        <f t="shared" si="8"/>
        <v>12737.31956</v>
      </c>
      <c r="Q9">
        <f t="shared" si="9"/>
        <v>0.49364069960209112</v>
      </c>
      <c r="R9" s="4">
        <f t="shared" si="10"/>
        <v>6.1046138980080125</v>
      </c>
      <c r="S9" s="5">
        <f t="shared" si="17"/>
        <v>0.84688646171020299</v>
      </c>
      <c r="T9" s="10">
        <f t="shared" si="18"/>
        <v>1.7077109216808752</v>
      </c>
      <c r="U9">
        <f t="shared" si="19"/>
        <v>0.86082445997067225</v>
      </c>
      <c r="V9">
        <f t="shared" si="20"/>
        <v>1.1116559177009142</v>
      </c>
      <c r="W9">
        <f t="shared" si="11"/>
        <v>0.23244092456715323</v>
      </c>
      <c r="X9">
        <f t="shared" si="12"/>
        <v>11.349189844450631</v>
      </c>
      <c r="Y9">
        <f t="shared" si="13"/>
        <v>3.8880308475475811</v>
      </c>
      <c r="Z9">
        <f t="shared" si="14"/>
        <v>4.154022729306627</v>
      </c>
      <c r="AA9">
        <f t="shared" si="15"/>
        <v>-3.3071362675964235</v>
      </c>
      <c r="AB9">
        <f t="shared" si="21"/>
        <v>7.4611589969030501</v>
      </c>
      <c r="AC9" s="1">
        <f t="shared" si="22"/>
        <v>4.6332893384414193</v>
      </c>
      <c r="AD9" s="1">
        <f t="shared" si="23"/>
        <v>-2.9255784167605436</v>
      </c>
      <c r="AE9" s="5">
        <f t="shared" si="16"/>
        <v>0.84688646171020343</v>
      </c>
      <c r="AF9" s="10">
        <f t="shared" si="24"/>
        <v>1.7077109216808757</v>
      </c>
    </row>
    <row r="10" spans="1:32" x14ac:dyDescent="0.3">
      <c r="A10">
        <v>2008</v>
      </c>
      <c r="B10" s="1">
        <v>12007.476208</v>
      </c>
      <c r="C10" s="1">
        <v>6.3273383084577102</v>
      </c>
      <c r="D10" s="1">
        <v>13680.77368</v>
      </c>
      <c r="G10">
        <v>2008</v>
      </c>
      <c r="H10">
        <f t="shared" si="0"/>
        <v>6.3273383084577102</v>
      </c>
      <c r="I10">
        <f t="shared" si="1"/>
        <v>0.73078970484863404</v>
      </c>
      <c r="J10">
        <f t="shared" si="2"/>
        <v>16430.822886985068</v>
      </c>
      <c r="K10">
        <f t="shared" si="3"/>
        <v>0.83262863790203745</v>
      </c>
      <c r="L10">
        <f t="shared" si="4"/>
        <v>2.9371983092250211</v>
      </c>
      <c r="M10" s="3">
        <f t="shared" si="5"/>
        <v>111.53820353133251</v>
      </c>
      <c r="N10">
        <f t="shared" si="6"/>
        <v>37.974352355105992</v>
      </c>
      <c r="O10">
        <f t="shared" si="7"/>
        <v>13680.77368</v>
      </c>
      <c r="P10">
        <f t="shared" si="8"/>
        <v>12007.476208</v>
      </c>
      <c r="Q10">
        <f t="shared" si="9"/>
        <v>0.46420756501970056</v>
      </c>
      <c r="R10" s="4">
        <f t="shared" si="10"/>
        <v>5.529337794415178</v>
      </c>
      <c r="S10" s="5">
        <f t="shared" si="17"/>
        <v>-0.57527610359283443</v>
      </c>
      <c r="T10" s="10">
        <f t="shared" si="18"/>
        <v>-0.56990939796430951</v>
      </c>
      <c r="U10">
        <f t="shared" si="19"/>
        <v>5.3667056285249259E-3</v>
      </c>
      <c r="V10">
        <f t="shared" si="20"/>
        <v>0.34887348169160709</v>
      </c>
      <c r="W10">
        <f t="shared" si="11"/>
        <v>0.65683337709075496</v>
      </c>
      <c r="X10">
        <f t="shared" si="12"/>
        <v>4.6314664525347302</v>
      </c>
      <c r="Y10">
        <f t="shared" si="13"/>
        <v>7.0289222309866686</v>
      </c>
      <c r="Z10">
        <f t="shared" si="14"/>
        <v>-1.4863659410223864</v>
      </c>
      <c r="AA10">
        <f t="shared" si="15"/>
        <v>0.91108983742955196</v>
      </c>
      <c r="AB10">
        <f t="shared" si="21"/>
        <v>2.3974557784519384</v>
      </c>
      <c r="AC10" s="1">
        <f t="shared" si="22"/>
        <v>-1.4830387103249829</v>
      </c>
      <c r="AD10" s="1">
        <f t="shared" si="23"/>
        <v>0.91312931236067341</v>
      </c>
      <c r="AE10" s="5">
        <f t="shared" si="16"/>
        <v>-0.57527610359283443</v>
      </c>
      <c r="AF10" s="10">
        <f t="shared" si="24"/>
        <v>-0.56990939796430951</v>
      </c>
    </row>
    <row r="11" spans="1:32" x14ac:dyDescent="0.3">
      <c r="A11" s="6">
        <v>2009</v>
      </c>
      <c r="B11" s="1">
        <v>13040.925576</v>
      </c>
      <c r="C11" s="1">
        <v>5.4311965811965814</v>
      </c>
      <c r="D11" s="1">
        <v>14748.709416</v>
      </c>
      <c r="G11" s="6">
        <v>2009</v>
      </c>
      <c r="H11">
        <f t="shared" si="0"/>
        <v>5.4311965811965814</v>
      </c>
      <c r="I11">
        <f t="shared" si="1"/>
        <v>0.75001122142016552</v>
      </c>
      <c r="J11">
        <f>B11/I11</f>
        <v>17387.640615971948</v>
      </c>
      <c r="K11">
        <f t="shared" si="3"/>
        <v>0.84822948332921733</v>
      </c>
      <c r="L11">
        <f t="shared" si="4"/>
        <v>2.6333562996645581</v>
      </c>
      <c r="M11" s="3">
        <f t="shared" si="5"/>
        <v>100</v>
      </c>
      <c r="N11">
        <f t="shared" si="6"/>
        <v>37.974352355105992</v>
      </c>
      <c r="O11">
        <f t="shared" si="7"/>
        <v>14748.709416</v>
      </c>
      <c r="P11">
        <f t="shared" si="8"/>
        <v>13040.925576</v>
      </c>
      <c r="Q11">
        <f t="shared" si="9"/>
        <v>0.48485748219490687</v>
      </c>
      <c r="R11" s="4">
        <f t="shared" si="10"/>
        <v>5.1555000000000035</v>
      </c>
      <c r="S11" s="5">
        <f t="shared" si="17"/>
        <v>-0.37383779441517451</v>
      </c>
      <c r="T11" s="10">
        <f t="shared" si="18"/>
        <v>-0.89614172726112873</v>
      </c>
      <c r="U11">
        <f t="shared" si="19"/>
        <v>-0.52230393284595422</v>
      </c>
      <c r="V11">
        <f t="shared" si="20"/>
        <v>0.75445591947001145</v>
      </c>
      <c r="W11">
        <f t="shared" si="11"/>
        <v>0.29832692060974242</v>
      </c>
      <c r="X11">
        <f t="shared" si="12"/>
        <v>6.9570581255281221</v>
      </c>
      <c r="Y11">
        <f t="shared" si="13"/>
        <v>3.9090326529353492</v>
      </c>
      <c r="Z11">
        <f t="shared" si="14"/>
        <v>1.3370938390887992</v>
      </c>
      <c r="AA11">
        <f t="shared" si="15"/>
        <v>-1.7109316335039737</v>
      </c>
      <c r="AB11">
        <f t="shared" si="21"/>
        <v>3.0480254725927729</v>
      </c>
      <c r="AC11" s="1">
        <f t="shared" si="22"/>
        <v>1.1079719445968499</v>
      </c>
      <c r="AD11" s="1">
        <f t="shared" si="23"/>
        <v>-2.0041136718579784</v>
      </c>
      <c r="AE11" s="5">
        <f t="shared" si="16"/>
        <v>-0.37383779441517451</v>
      </c>
      <c r="AF11" s="10">
        <f t="shared" si="24"/>
        <v>-0.89614172726112851</v>
      </c>
    </row>
    <row r="12" spans="1:32" x14ac:dyDescent="0.3">
      <c r="A12">
        <v>2010</v>
      </c>
      <c r="B12" s="1">
        <v>13033.051976000001</v>
      </c>
      <c r="C12" s="1">
        <v>7.8673212121212126</v>
      </c>
      <c r="D12" s="1">
        <v>14160.708968000001</v>
      </c>
      <c r="G12">
        <v>2010</v>
      </c>
      <c r="H12">
        <f t="shared" si="0"/>
        <v>7.8673212121212126</v>
      </c>
      <c r="I12">
        <f t="shared" si="1"/>
        <v>0.70422174324276599</v>
      </c>
      <c r="J12">
        <f t="shared" si="2"/>
        <v>18507.028646951509</v>
      </c>
      <c r="K12">
        <f t="shared" si="3"/>
        <v>0.76515302581176714</v>
      </c>
      <c r="L12">
        <f t="shared" si="4"/>
        <v>4.8287367484821173</v>
      </c>
      <c r="M12" s="3">
        <f t="shared" si="5"/>
        <v>183.36815071690873</v>
      </c>
      <c r="N12">
        <f t="shared" si="6"/>
        <v>37.974352355105992</v>
      </c>
      <c r="O12">
        <f t="shared" si="7"/>
        <v>14160.708968000001</v>
      </c>
      <c r="P12">
        <f t="shared" si="8"/>
        <v>13033.051976000001</v>
      </c>
      <c r="Q12">
        <f t="shared" si="9"/>
        <v>0.61377139922067336</v>
      </c>
      <c r="R12" s="4">
        <f t="shared" si="10"/>
        <v>7.8566280832278474</v>
      </c>
      <c r="S12" s="5">
        <f t="shared" si="17"/>
        <v>2.7011280832278439</v>
      </c>
      <c r="T12" s="10">
        <f t="shared" si="18"/>
        <v>2.4361246309246312</v>
      </c>
      <c r="U12">
        <f t="shared" si="19"/>
        <v>-0.26500345230321276</v>
      </c>
      <c r="V12">
        <f t="shared" si="20"/>
        <v>0.48313803026302354</v>
      </c>
      <c r="W12">
        <f t="shared" si="11"/>
        <v>0.61595576549287567</v>
      </c>
      <c r="X12">
        <f t="shared" si="12"/>
        <v>6.5921351826032639</v>
      </c>
      <c r="Y12">
        <f t="shared" si="13"/>
        <v>7.8777721114773147</v>
      </c>
      <c r="Z12">
        <f t="shared" si="14"/>
        <v>0.70774557717689657</v>
      </c>
      <c r="AA12">
        <f t="shared" si="15"/>
        <v>1.9933825060509474</v>
      </c>
      <c r="AB12">
        <f t="shared" si="21"/>
        <v>2.7011280832278439</v>
      </c>
      <c r="AC12" s="1">
        <f t="shared" si="22"/>
        <v>0.63830976535116501</v>
      </c>
      <c r="AD12" s="1">
        <f t="shared" si="23"/>
        <v>1.797814865573466</v>
      </c>
      <c r="AE12" s="5">
        <f t="shared" si="16"/>
        <v>2.7011280832278439</v>
      </c>
      <c r="AF12" s="10">
        <f t="shared" si="24"/>
        <v>2.4361246309246312</v>
      </c>
    </row>
    <row r="13" spans="1:32" x14ac:dyDescent="0.3">
      <c r="A13">
        <v>2011</v>
      </c>
      <c r="B13" s="1">
        <v>12481.899976000001</v>
      </c>
      <c r="C13" s="1">
        <v>9.1153918128654965</v>
      </c>
      <c r="D13" s="1">
        <v>13470.902872000001</v>
      </c>
      <c r="G13">
        <v>2011</v>
      </c>
      <c r="H13">
        <f t="shared" si="0"/>
        <v>9.1153918128654965</v>
      </c>
      <c r="I13">
        <f t="shared" si="1"/>
        <v>0.68681250207020872</v>
      </c>
      <c r="J13">
        <f t="shared" si="2"/>
        <v>18173.664483940993</v>
      </c>
      <c r="K13">
        <f t="shared" si="3"/>
        <v>0.74123206598776226</v>
      </c>
      <c r="L13">
        <f t="shared" si="4"/>
        <v>5.8207011382411347</v>
      </c>
      <c r="M13" s="3">
        <f t="shared" si="5"/>
        <v>221.03735597733535</v>
      </c>
      <c r="N13">
        <f t="shared" si="6"/>
        <v>37.974352355105992</v>
      </c>
      <c r="O13">
        <f t="shared" si="7"/>
        <v>13470.902872000001</v>
      </c>
      <c r="P13">
        <f t="shared" si="8"/>
        <v>12481.899976000001</v>
      </c>
      <c r="Q13">
        <f t="shared" si="9"/>
        <v>0.63855742657444214</v>
      </c>
      <c r="R13" s="4">
        <f t="shared" si="10"/>
        <v>9.0771103336656598</v>
      </c>
      <c r="S13" s="5">
        <f t="shared" si="17"/>
        <v>1.2204822504378123</v>
      </c>
      <c r="T13" s="10">
        <f t="shared" si="18"/>
        <v>1.2480706007442839</v>
      </c>
      <c r="U13">
        <f t="shared" si="19"/>
        <v>2.7588350306471554E-2</v>
      </c>
      <c r="V13">
        <f t="shared" si="20"/>
        <v>0.47601623986880298</v>
      </c>
      <c r="W13">
        <f t="shared" si="11"/>
        <v>0.82335065984170785</v>
      </c>
      <c r="X13">
        <f t="shared" si="12"/>
        <v>7.2541628681542223</v>
      </c>
      <c r="Y13">
        <f t="shared" si="13"/>
        <v>11.149621080362074</v>
      </c>
      <c r="Z13">
        <f t="shared" si="14"/>
        <v>-1.3374879808850197</v>
      </c>
      <c r="AA13">
        <f t="shared" si="15"/>
        <v>2.5579702313228321</v>
      </c>
      <c r="AB13">
        <f t="shared" si="21"/>
        <v>3.8954582122078518</v>
      </c>
      <c r="AC13" s="1">
        <f t="shared" si="22"/>
        <v>-1.3280156454273542</v>
      </c>
      <c r="AD13" s="1">
        <f t="shared" si="23"/>
        <v>2.5760862461716378</v>
      </c>
      <c r="AE13" s="5">
        <f t="shared" si="16"/>
        <v>1.2204822504378123</v>
      </c>
      <c r="AF13" s="10">
        <f t="shared" si="24"/>
        <v>1.2480706007442837</v>
      </c>
    </row>
    <row r="14" spans="1:32" x14ac:dyDescent="0.3">
      <c r="A14">
        <v>2012</v>
      </c>
      <c r="B14" s="1">
        <v>11082.800624</v>
      </c>
      <c r="C14" s="1">
        <v>9.8552168949771701</v>
      </c>
      <c r="D14" s="1">
        <v>11903.977736000001</v>
      </c>
      <c r="G14" s="9">
        <v>2012</v>
      </c>
      <c r="H14" s="9">
        <f t="shared" si="0"/>
        <v>9.8552168949771701</v>
      </c>
      <c r="I14" s="9">
        <f t="shared" si="1"/>
        <v>0.6777612705854319</v>
      </c>
      <c r="J14" s="9">
        <f t="shared" si="2"/>
        <v>16352.071304438767</v>
      </c>
      <c r="K14" s="9">
        <f t="shared" si="3"/>
        <v>0.72797980845207466</v>
      </c>
      <c r="L14" s="9">
        <f t="shared" si="4"/>
        <v>6.4723611573575628</v>
      </c>
      <c r="M14" s="9">
        <f t="shared" si="5"/>
        <v>245.78372315899767</v>
      </c>
      <c r="N14" s="9">
        <f t="shared" si="6"/>
        <v>37.974352355105992</v>
      </c>
      <c r="O14" s="9">
        <f t="shared" si="7"/>
        <v>11903.977736000001</v>
      </c>
      <c r="P14" s="9">
        <f t="shared" si="8"/>
        <v>11082.800624</v>
      </c>
      <c r="Q14">
        <f t="shared" si="9"/>
        <v>0.6567446689738794</v>
      </c>
      <c r="R14" s="4">
        <f t="shared" si="10"/>
        <v>9.8788926303515296</v>
      </c>
      <c r="S14" s="5">
        <f t="shared" si="17"/>
        <v>0.80178229668586987</v>
      </c>
      <c r="T14" s="10">
        <f t="shared" si="18"/>
        <v>0.73982508211167364</v>
      </c>
      <c r="U14">
        <f t="shared" si="19"/>
        <v>-6.1957214574196229E-2</v>
      </c>
      <c r="V14">
        <f t="shared" si="20"/>
        <v>0.31731247836679527</v>
      </c>
      <c r="W14">
        <f t="shared" si="11"/>
        <v>1.3216284083592749</v>
      </c>
      <c r="X14">
        <f t="shared" si="12"/>
        <v>5.763089437905613</v>
      </c>
      <c r="Y14">
        <f t="shared" si="13"/>
        <v>17.940975994552865</v>
      </c>
      <c r="Z14">
        <f t="shared" si="14"/>
        <v>-5.688052129980691</v>
      </c>
      <c r="AA14">
        <f t="shared" si="15"/>
        <v>6.4898344266665609</v>
      </c>
      <c r="AB14">
        <f t="shared" si="21"/>
        <v>12.177886556647252</v>
      </c>
      <c r="AC14" s="1">
        <f t="shared" si="22"/>
        <v>-5.7169911305771501</v>
      </c>
      <c r="AD14" s="1">
        <f t="shared" si="23"/>
        <v>6.4568162126888238</v>
      </c>
      <c r="AE14" s="5">
        <f t="shared" si="16"/>
        <v>0.80178229668586987</v>
      </c>
      <c r="AF14" s="10">
        <f t="shared" si="24"/>
        <v>0.73982508211167364</v>
      </c>
    </row>
    <row r="15" spans="1:32" x14ac:dyDescent="0.3">
      <c r="A15">
        <v>2013</v>
      </c>
      <c r="B15" s="1">
        <v>13455.667455999999</v>
      </c>
      <c r="C15" s="1">
        <v>6.2861417322834638</v>
      </c>
      <c r="D15" s="1">
        <v>14687.570911999999</v>
      </c>
      <c r="G15">
        <v>2013</v>
      </c>
      <c r="H15">
        <f t="shared" si="0"/>
        <v>6.2861417322834638</v>
      </c>
      <c r="I15">
        <f t="shared" si="1"/>
        <v>0.7316016753256972</v>
      </c>
      <c r="J15">
        <f t="shared" si="2"/>
        <v>18392.067582417378</v>
      </c>
      <c r="K15">
        <f t="shared" si="3"/>
        <v>0.79858182589765825</v>
      </c>
      <c r="L15">
        <f t="shared" si="4"/>
        <v>3.7548417097366378</v>
      </c>
      <c r="M15" s="3">
        <f t="shared" si="5"/>
        <v>142.58768212318768</v>
      </c>
      <c r="N15">
        <f t="shared" si="6"/>
        <v>37.974352355105992</v>
      </c>
      <c r="O15">
        <f t="shared" si="7"/>
        <v>14687.570911999999</v>
      </c>
      <c r="P15">
        <f t="shared" si="8"/>
        <v>13455.667455999999</v>
      </c>
      <c r="Q15">
        <f t="shared" si="9"/>
        <v>0.59732056158598246</v>
      </c>
      <c r="R15" s="4">
        <f t="shared" si="10"/>
        <v>6.535340900791283</v>
      </c>
      <c r="S15" s="5">
        <f t="shared" si="17"/>
        <v>-3.3435517295602466</v>
      </c>
      <c r="T15" s="10">
        <f t="shared" si="18"/>
        <v>-3.5690751626937063</v>
      </c>
      <c r="U15">
        <f t="shared" si="19"/>
        <v>-0.22552343313345968</v>
      </c>
      <c r="V15">
        <f t="shared" si="20"/>
        <v>2.055978020325409</v>
      </c>
      <c r="W15">
        <f t="shared" si="11"/>
        <v>0.19080315577886797</v>
      </c>
      <c r="X15">
        <f t="shared" si="12"/>
        <v>17.816997387278484</v>
      </c>
      <c r="Y15">
        <f t="shared" si="13"/>
        <v>3.3912238905802816</v>
      </c>
      <c r="Z15">
        <f t="shared" si="14"/>
        <v>5.5411108835689777</v>
      </c>
      <c r="AA15">
        <f t="shared" si="15"/>
        <v>-8.8846626131292243</v>
      </c>
      <c r="AB15">
        <f t="shared" si="21"/>
        <v>14.425773496698202</v>
      </c>
      <c r="AC15" s="1">
        <f t="shared" si="22"/>
        <v>5.4544846551645403</v>
      </c>
      <c r="AD15" s="1">
        <f t="shared" si="23"/>
        <v>-9.0235598178582475</v>
      </c>
      <c r="AE15" s="5">
        <f t="shared" si="16"/>
        <v>-3.3435517295602466</v>
      </c>
      <c r="AF15" s="10">
        <f t="shared" si="24"/>
        <v>-3.5690751626937072</v>
      </c>
    </row>
    <row r="16" spans="1:32" x14ac:dyDescent="0.3">
      <c r="A16">
        <v>2014</v>
      </c>
      <c r="B16" s="1">
        <v>13749.588943999999</v>
      </c>
      <c r="C16" s="1">
        <v>5.1002200220022011</v>
      </c>
      <c r="D16" s="1">
        <v>15480.757376</v>
      </c>
      <c r="G16">
        <v>2014</v>
      </c>
      <c r="H16">
        <f t="shared" si="0"/>
        <v>5.1002200220022011</v>
      </c>
      <c r="I16">
        <f t="shared" si="1"/>
        <v>0.75807100342453371</v>
      </c>
      <c r="J16">
        <f t="shared" si="2"/>
        <v>18137.60041194977</v>
      </c>
      <c r="K16">
        <f t="shared" si="3"/>
        <v>0.85351739063567988</v>
      </c>
      <c r="L16">
        <f t="shared" si="4"/>
        <v>2.538826903165897</v>
      </c>
      <c r="M16" s="3">
        <f t="shared" si="5"/>
        <v>96.410307389444327</v>
      </c>
      <c r="N16">
        <f t="shared" si="6"/>
        <v>37.974352355105992</v>
      </c>
      <c r="O16">
        <f t="shared" si="7"/>
        <v>15480.757376</v>
      </c>
      <c r="P16">
        <f t="shared" si="8"/>
        <v>13749.588943999999</v>
      </c>
      <c r="Q16">
        <f t="shared" si="9"/>
        <v>0.49778772135583815</v>
      </c>
      <c r="R16" s="4">
        <f t="shared" si="10"/>
        <v>5.0391939594179975</v>
      </c>
      <c r="S16" s="5">
        <f t="shared" si="17"/>
        <v>-1.4961469413732855</v>
      </c>
      <c r="T16" s="10">
        <f t="shared" si="18"/>
        <v>-1.1859217102812627</v>
      </c>
      <c r="U16">
        <f t="shared" si="19"/>
        <v>0.31022523109202282</v>
      </c>
      <c r="V16">
        <f t="shared" si="20"/>
        <v>0.67828189607636669</v>
      </c>
      <c r="W16">
        <f t="shared" si="11"/>
        <v>0.43837059929047356</v>
      </c>
      <c r="X16">
        <f t="shared" si="12"/>
        <v>6.1718224656997327</v>
      </c>
      <c r="Y16">
        <f t="shared" si="13"/>
        <v>4.6663424459735623</v>
      </c>
      <c r="Z16">
        <f t="shared" si="14"/>
        <v>4.6665391764424413E-3</v>
      </c>
      <c r="AA16">
        <f t="shared" si="15"/>
        <v>-1.500813480549728</v>
      </c>
      <c r="AB16">
        <f t="shared" si="21"/>
        <v>1.5054800197261704</v>
      </c>
      <c r="AC16" s="1">
        <f t="shared" si="22"/>
        <v>5.628144893850202E-3</v>
      </c>
      <c r="AD16" s="1">
        <f t="shared" si="23"/>
        <v>-1.1915498551751129</v>
      </c>
      <c r="AE16" s="5">
        <f t="shared" si="16"/>
        <v>-1.4961469413732855</v>
      </c>
      <c r="AF16" s="10">
        <f t="shared" si="24"/>
        <v>-1.1859217102812627</v>
      </c>
    </row>
    <row r="17" spans="1:32" x14ac:dyDescent="0.3">
      <c r="A17">
        <v>2015</v>
      </c>
      <c r="B17" s="1">
        <v>13663.569863999999</v>
      </c>
      <c r="C17" s="1">
        <v>4.8848056155507571</v>
      </c>
      <c r="D17" s="1">
        <v>15400.604128000001</v>
      </c>
      <c r="G17">
        <v>2015</v>
      </c>
      <c r="H17">
        <f t="shared" si="0"/>
        <v>4.8848056155507571</v>
      </c>
      <c r="I17">
        <f t="shared" si="1"/>
        <v>0.76365282262712231</v>
      </c>
      <c r="J17">
        <f t="shared" si="2"/>
        <v>17892.384417561003</v>
      </c>
      <c r="K17">
        <f t="shared" si="3"/>
        <v>0.8607351467859492</v>
      </c>
      <c r="L17">
        <f t="shared" si="4"/>
        <v>2.4161304025746473</v>
      </c>
      <c r="M17" s="3">
        <f t="shared" si="5"/>
        <v>91.750987243253732</v>
      </c>
      <c r="N17">
        <f t="shared" si="6"/>
        <v>37.974352355105992</v>
      </c>
      <c r="O17">
        <f t="shared" si="7"/>
        <v>15400.604128000001</v>
      </c>
      <c r="P17">
        <f t="shared" si="8"/>
        <v>13663.569863999999</v>
      </c>
      <c r="Q17">
        <f t="shared" si="9"/>
        <v>0.49462160682154965</v>
      </c>
      <c r="R17" s="4">
        <f t="shared" si="10"/>
        <v>4.8882319866814177</v>
      </c>
      <c r="S17" s="5">
        <f t="shared" si="17"/>
        <v>-0.15096197273657985</v>
      </c>
      <c r="T17" s="10">
        <f t="shared" si="18"/>
        <v>-0.21541440645144405</v>
      </c>
      <c r="U17">
        <f t="shared" si="19"/>
        <v>-6.4452433714864199E-2</v>
      </c>
      <c r="V17">
        <f t="shared" si="20"/>
        <v>0.47974629881536518</v>
      </c>
      <c r="W17">
        <f t="shared" si="11"/>
        <v>0.51322243277549773</v>
      </c>
      <c r="X17">
        <f t="shared" si="12"/>
        <v>4.7988296975135754</v>
      </c>
      <c r="Y17">
        <f t="shared" si="13"/>
        <v>5.0000250614872757</v>
      </c>
      <c r="Z17">
        <f t="shared" si="14"/>
        <v>-0.17607866835514008</v>
      </c>
      <c r="AA17">
        <f t="shared" si="15"/>
        <v>2.5116695618560225E-2</v>
      </c>
      <c r="AB17">
        <f t="shared" si="21"/>
        <v>0.2011953639737003</v>
      </c>
      <c r="AC17" s="1">
        <f t="shared" si="22"/>
        <v>-0.23248503118885175</v>
      </c>
      <c r="AD17" s="1">
        <f t="shared" si="23"/>
        <v>1.7070624737407704E-2</v>
      </c>
      <c r="AE17" s="5">
        <f t="shared" si="16"/>
        <v>-0.15096197273657985</v>
      </c>
      <c r="AF17" s="10">
        <f t="shared" si="24"/>
        <v>-0.21541440645144405</v>
      </c>
    </row>
    <row r="18" spans="1:32" x14ac:dyDescent="0.3">
      <c r="A18">
        <v>2016</v>
      </c>
      <c r="B18" s="1">
        <v>14648.754064000001</v>
      </c>
      <c r="C18" s="1">
        <v>4.5318406889128093</v>
      </c>
      <c r="D18" s="1">
        <v>16942.058168</v>
      </c>
      <c r="G18">
        <v>2016</v>
      </c>
      <c r="H18">
        <f t="shared" si="0"/>
        <v>4.5318406889128093</v>
      </c>
      <c r="I18">
        <f t="shared" si="1"/>
        <v>0.77345190268138531</v>
      </c>
      <c r="J18">
        <f t="shared" si="2"/>
        <v>18939.450550468668</v>
      </c>
      <c r="K18">
        <f t="shared" si="3"/>
        <v>0.89453799743840823</v>
      </c>
      <c r="L18">
        <f t="shared" si="4"/>
        <v>1.9262514692192405</v>
      </c>
      <c r="M18" s="3">
        <f t="shared" si="5"/>
        <v>73.148152016672043</v>
      </c>
      <c r="N18">
        <f t="shared" si="6"/>
        <v>37.974352355105992</v>
      </c>
      <c r="O18">
        <f t="shared" si="7"/>
        <v>16942.058168</v>
      </c>
      <c r="P18">
        <f t="shared" si="8"/>
        <v>14648.754064000001</v>
      </c>
      <c r="Q18">
        <f t="shared" si="9"/>
        <v>0.42504836366640913</v>
      </c>
      <c r="R18" s="4">
        <f t="shared" si="10"/>
        <v>4.2855001253401754</v>
      </c>
      <c r="S18" s="5">
        <f t="shared" si="17"/>
        <v>-0.60273186134124224</v>
      </c>
      <c r="T18" s="10">
        <f t="shared" si="18"/>
        <v>-0.35296492663794776</v>
      </c>
      <c r="U18">
        <f t="shared" si="19"/>
        <v>0.24976693470329447</v>
      </c>
      <c r="V18">
        <f t="shared" si="20"/>
        <v>0.74496331001213123</v>
      </c>
      <c r="W18">
        <f t="shared" si="11"/>
        <v>0.28221269663619564</v>
      </c>
      <c r="X18">
        <f t="shared" si="12"/>
        <v>6.0692935186318016</v>
      </c>
      <c r="Y18">
        <f t="shared" si="13"/>
        <v>3.4890718181126839</v>
      </c>
      <c r="Z18">
        <f t="shared" si="14"/>
        <v>0.98874491958893773</v>
      </c>
      <c r="AA18">
        <f t="shared" si="15"/>
        <v>-1.59147678093018</v>
      </c>
      <c r="AB18">
        <f t="shared" si="21"/>
        <v>2.5802217005191177</v>
      </c>
      <c r="AC18" s="1">
        <f t="shared" si="22"/>
        <v>1.084455992679866</v>
      </c>
      <c r="AD18" s="1">
        <f t="shared" si="23"/>
        <v>-1.4374209193178138</v>
      </c>
      <c r="AE18" s="5">
        <f t="shared" si="16"/>
        <v>-0.60273186134124224</v>
      </c>
      <c r="AF18" s="10">
        <f t="shared" si="24"/>
        <v>-0.35296492663794776</v>
      </c>
    </row>
    <row r="19" spans="1:32" x14ac:dyDescent="0.3">
      <c r="A19">
        <v>2017</v>
      </c>
      <c r="B19" s="1">
        <v>14798.313096</v>
      </c>
      <c r="C19" s="1">
        <v>4.4931483457844186</v>
      </c>
      <c r="D19" s="1">
        <v>16938.633151999999</v>
      </c>
      <c r="G19">
        <v>2017</v>
      </c>
      <c r="H19">
        <f t="shared" si="0"/>
        <v>4.4931483457844186</v>
      </c>
      <c r="I19">
        <f t="shared" si="1"/>
        <v>0.77458016427697352</v>
      </c>
      <c r="J19">
        <f t="shared" si="2"/>
        <v>19104.947142318553</v>
      </c>
      <c r="K19">
        <f t="shared" si="3"/>
        <v>0.88660978885829811</v>
      </c>
      <c r="L19">
        <f t="shared" si="4"/>
        <v>2.0298117085255645</v>
      </c>
      <c r="M19" s="3">
        <f t="shared" si="5"/>
        <v>77.080785034069478</v>
      </c>
      <c r="N19">
        <f t="shared" si="6"/>
        <v>37.974352355105992</v>
      </c>
      <c r="O19">
        <f t="shared" si="7"/>
        <v>16938.633151999999</v>
      </c>
      <c r="P19">
        <f t="shared" si="8"/>
        <v>14798.313096</v>
      </c>
      <c r="Q19">
        <f t="shared" si="9"/>
        <v>0.45175710933959773</v>
      </c>
      <c r="R19" s="4">
        <f t="shared" si="10"/>
        <v>4.4129174351038509</v>
      </c>
      <c r="S19" s="5">
        <f t="shared" si="17"/>
        <v>0.12741730976367549</v>
      </c>
      <c r="T19" s="10">
        <f t="shared" si="18"/>
        <v>-3.869234312839076E-2</v>
      </c>
      <c r="U19">
        <f t="shared" si="19"/>
        <v>-0.16610965289206625</v>
      </c>
      <c r="V19">
        <f t="shared" si="20"/>
        <v>0.45122015397548704</v>
      </c>
      <c r="W19">
        <f t="shared" si="11"/>
        <v>0.42555417440395321</v>
      </c>
      <c r="X19">
        <f t="shared" si="12"/>
        <v>4.4099490220772957</v>
      </c>
      <c r="Y19">
        <f t="shared" si="13"/>
        <v>4.2680615707327654</v>
      </c>
      <c r="Z19">
        <f t="shared" si="14"/>
        <v>0.13465238055410289</v>
      </c>
      <c r="AA19">
        <f t="shared" si="15"/>
        <v>-7.2350707904274003E-3</v>
      </c>
      <c r="AB19">
        <f t="shared" si="21"/>
        <v>0.14188745134453029</v>
      </c>
      <c r="AC19" s="1">
        <f t="shared" si="22"/>
        <v>-2.2987072286732718E-2</v>
      </c>
      <c r="AD19" s="1">
        <f t="shared" si="23"/>
        <v>-1.5705270841658021E-2</v>
      </c>
      <c r="AE19" s="5">
        <f t="shared" si="16"/>
        <v>0.12741730976367549</v>
      </c>
      <c r="AF19" s="10">
        <f t="shared" si="24"/>
        <v>-3.869234312839074E-2</v>
      </c>
    </row>
    <row r="20" spans="1:32" x14ac:dyDescent="0.3">
      <c r="A20">
        <v>2018</v>
      </c>
      <c r="B20" s="1">
        <v>14252.830088000001</v>
      </c>
      <c r="C20" s="1">
        <v>4.7614000000000001</v>
      </c>
      <c r="D20" s="1">
        <v>16489.837952000002</v>
      </c>
      <c r="G20" s="9">
        <v>2018</v>
      </c>
      <c r="H20" s="9">
        <f t="shared" si="0"/>
        <v>4.7614000000000001</v>
      </c>
      <c r="I20" s="9">
        <f t="shared" si="1"/>
        <v>0.76698188472089623</v>
      </c>
      <c r="J20" s="9">
        <f t="shared" si="2"/>
        <v>18583.007463320449</v>
      </c>
      <c r="K20" s="9">
        <f t="shared" si="3"/>
        <v>0.88736110043264027</v>
      </c>
      <c r="L20" s="9">
        <f t="shared" si="4"/>
        <v>2.0197231541551934</v>
      </c>
      <c r="M20" s="9">
        <f t="shared" si="5"/>
        <v>76.697678715655371</v>
      </c>
      <c r="N20" s="9">
        <f t="shared" si="6"/>
        <v>37.974352355105992</v>
      </c>
      <c r="O20" s="9">
        <f t="shared" si="7"/>
        <v>16489.837952000002</v>
      </c>
      <c r="P20" s="9">
        <f t="shared" si="8"/>
        <v>14252.830088000001</v>
      </c>
      <c r="Q20">
        <f t="shared" si="9"/>
        <v>0.42418682617616543</v>
      </c>
      <c r="R20" s="4">
        <f t="shared" si="10"/>
        <v>4.4005047903872345</v>
      </c>
      <c r="S20" s="5">
        <f t="shared" si="17"/>
        <v>-1.2412644716616406E-2</v>
      </c>
      <c r="T20" s="10">
        <f t="shared" si="18"/>
        <v>0.2682516542155815</v>
      </c>
      <c r="U20">
        <f t="shared" si="19"/>
        <v>0.28066429893219791</v>
      </c>
      <c r="V20">
        <f t="shared" si="20"/>
        <v>0.36220740599578677</v>
      </c>
      <c r="W20">
        <f t="shared" si="11"/>
        <v>0.5290599011537388</v>
      </c>
      <c r="X20">
        <f t="shared" si="12"/>
        <v>4.0374120525903754</v>
      </c>
      <c r="Y20">
        <f t="shared" si="13"/>
        <v>5.0148805267842853</v>
      </c>
      <c r="Z20">
        <f t="shared" si="14"/>
        <v>-0.49494055945526316</v>
      </c>
      <c r="AA20">
        <f t="shared" si="15"/>
        <v>0.48252791473864676</v>
      </c>
      <c r="AB20">
        <f t="shared" si="21"/>
        <v>0.97746847419390992</v>
      </c>
      <c r="AC20" s="1">
        <f t="shared" si="22"/>
        <v>-0.35282636467555112</v>
      </c>
      <c r="AD20" s="1">
        <f t="shared" si="23"/>
        <v>0.62107801889113268</v>
      </c>
      <c r="AE20" s="5">
        <f t="shared" si="16"/>
        <v>-1.2412644716616406E-2</v>
      </c>
      <c r="AF20" s="10">
        <f t="shared" si="24"/>
        <v>0.26825165421558156</v>
      </c>
    </row>
    <row r="21" spans="1:32" x14ac:dyDescent="0.3">
      <c r="A21">
        <v>2019</v>
      </c>
      <c r="B21" s="1">
        <v>13842.772999999999</v>
      </c>
      <c r="C21" s="1">
        <v>4.6081404958677696</v>
      </c>
      <c r="D21" s="1">
        <v>15847.115984</v>
      </c>
      <c r="G21">
        <v>2019</v>
      </c>
      <c r="H21">
        <f t="shared" si="0"/>
        <v>4.6081404958677696</v>
      </c>
      <c r="I21">
        <f t="shared" si="1"/>
        <v>0.77125968205589723</v>
      </c>
      <c r="J21">
        <f t="shared" si="2"/>
        <v>17948.264795976644</v>
      </c>
      <c r="K21">
        <f t="shared" si="3"/>
        <v>0.88293303916222332</v>
      </c>
      <c r="L21">
        <f t="shared" si="4"/>
        <v>2.0800412659060266</v>
      </c>
      <c r="M21" s="3">
        <f t="shared" si="5"/>
        <v>78.98821994467616</v>
      </c>
      <c r="N21">
        <f t="shared" si="6"/>
        <v>37.974352355105992</v>
      </c>
      <c r="O21">
        <f t="shared" si="7"/>
        <v>15847.115984</v>
      </c>
      <c r="P21">
        <f t="shared" si="8"/>
        <v>13842.772999999999</v>
      </c>
      <c r="Q21">
        <f t="shared" si="9"/>
        <v>0.45138408166401423</v>
      </c>
      <c r="R21" s="4">
        <f t="shared" si="10"/>
        <v>4.4747183262075101</v>
      </c>
      <c r="S21" s="5">
        <f t="shared" si="17"/>
        <v>7.4213535820275567E-2</v>
      </c>
      <c r="T21" s="10">
        <f t="shared" si="18"/>
        <v>-0.15325950413223044</v>
      </c>
      <c r="U21">
        <f t="shared" si="19"/>
        <v>-0.22747303995250601</v>
      </c>
      <c r="V21">
        <f t="shared" si="20"/>
        <v>0.35725691492290174</v>
      </c>
      <c r="W21">
        <f t="shared" si="11"/>
        <v>0.53594814540908697</v>
      </c>
      <c r="X21">
        <f t="shared" si="12"/>
        <v>3.9410442780891008</v>
      </c>
      <c r="Y21">
        <f t="shared" si="13"/>
        <v>4.9541723221861718</v>
      </c>
      <c r="Z21">
        <f t="shared" si="14"/>
        <v>-0.46945725413839767</v>
      </c>
      <c r="AA21">
        <f t="shared" si="15"/>
        <v>0.54367078995867324</v>
      </c>
      <c r="AB21">
        <f t="shared" si="21"/>
        <v>1.0131280440970709</v>
      </c>
      <c r="AC21" s="1">
        <f t="shared" si="22"/>
        <v>-0.57486235998737345</v>
      </c>
      <c r="AD21" s="1">
        <f t="shared" si="23"/>
        <v>0.42160285585514296</v>
      </c>
      <c r="AE21" s="5">
        <f t="shared" si="16"/>
        <v>7.4213535820275567E-2</v>
      </c>
      <c r="AF21" s="10">
        <f t="shared" si="24"/>
        <v>-0.1532595041322305</v>
      </c>
    </row>
    <row r="22" spans="1:32" x14ac:dyDescent="0.3">
      <c r="A22">
        <v>2020</v>
      </c>
      <c r="B22" s="1">
        <v>14880.71032</v>
      </c>
      <c r="C22" s="1">
        <v>5.6760900000000012</v>
      </c>
      <c r="D22" s="1">
        <v>16115.212063999999</v>
      </c>
      <c r="G22">
        <v>2020</v>
      </c>
      <c r="H22">
        <f t="shared" si="0"/>
        <v>5.6760900000000012</v>
      </c>
      <c r="I22">
        <f t="shared" si="1"/>
        <v>0.74440901443675067</v>
      </c>
      <c r="J22">
        <f t="shared" si="2"/>
        <v>19989.965236059554</v>
      </c>
      <c r="K22">
        <f t="shared" si="3"/>
        <v>0.80616508701726231</v>
      </c>
      <c r="L22">
        <f t="shared" si="4"/>
        <v>3.5517888623292131</v>
      </c>
      <c r="M22" s="3">
        <f t="shared" si="5"/>
        <v>134.87688174903056</v>
      </c>
      <c r="N22">
        <f t="shared" si="6"/>
        <v>37.974352355105992</v>
      </c>
      <c r="O22">
        <f t="shared" si="7"/>
        <v>16115.212063999999</v>
      </c>
      <c r="P22">
        <f t="shared" si="8"/>
        <v>14880.71032</v>
      </c>
      <c r="Q22">
        <f t="shared" si="9"/>
        <v>0.62574569154633053</v>
      </c>
      <c r="R22" s="4">
        <f t="shared" si="10"/>
        <v>6.2855109686685893</v>
      </c>
      <c r="S22" s="5">
        <f t="shared" si="17"/>
        <v>1.8107926424610792</v>
      </c>
      <c r="T22" s="10">
        <f t="shared" si="18"/>
        <v>1.0679495041322316</v>
      </c>
      <c r="U22">
        <f t="shared" si="19"/>
        <v>-0.74284313832884763</v>
      </c>
      <c r="V22">
        <f t="shared" si="20"/>
        <v>0.69064591378206341</v>
      </c>
      <c r="W22">
        <f t="shared" si="11"/>
        <v>0.40896737198822125</v>
      </c>
      <c r="X22">
        <f t="shared" si="12"/>
        <v>6.7387536947004989</v>
      </c>
      <c r="Y22">
        <f t="shared" si="13"/>
        <v>4.7715994115670544</v>
      </c>
      <c r="Z22">
        <f t="shared" si="14"/>
        <v>1.8889734627972619</v>
      </c>
      <c r="AA22">
        <f t="shared" si="15"/>
        <v>-7.8180820336182677E-2</v>
      </c>
      <c r="AB22">
        <f t="shared" si="21"/>
        <v>1.9671542831334445</v>
      </c>
      <c r="AC22" s="1">
        <f t="shared" si="22"/>
        <v>1.1756532177328638</v>
      </c>
      <c r="AD22" s="1">
        <f t="shared" si="23"/>
        <v>-0.10770371360063237</v>
      </c>
      <c r="AE22" s="5">
        <f t="shared" si="16"/>
        <v>1.8107926424610792</v>
      </c>
      <c r="AF22" s="10">
        <f t="shared" si="24"/>
        <v>1.0679495041322313</v>
      </c>
    </row>
    <row r="23" spans="1:32" x14ac:dyDescent="0.3">
      <c r="A23">
        <v>2021</v>
      </c>
      <c r="B23" s="1">
        <v>14899.488856</v>
      </c>
      <c r="C23" s="1">
        <v>7.2427745664739902</v>
      </c>
      <c r="D23" s="1">
        <v>16276.384656</v>
      </c>
      <c r="G23">
        <v>2021</v>
      </c>
      <c r="H23">
        <f t="shared" si="0"/>
        <v>7.2427745664739902</v>
      </c>
      <c r="I23">
        <f t="shared" si="1"/>
        <v>0.71419393114990859</v>
      </c>
      <c r="J23">
        <f t="shared" si="2"/>
        <v>20861.965085604475</v>
      </c>
      <c r="K23">
        <f t="shared" si="3"/>
        <v>0.78019422375657721</v>
      </c>
      <c r="L23">
        <f t="shared" si="4"/>
        <v>4.3062732537205148</v>
      </c>
      <c r="M23" s="3">
        <f t="shared" si="5"/>
        <v>163.52793787415155</v>
      </c>
      <c r="N23">
        <f t="shared" si="6"/>
        <v>37.974352355105992</v>
      </c>
      <c r="O23">
        <f t="shared" si="7"/>
        <v>16276.384656</v>
      </c>
      <c r="P23">
        <f t="shared" si="8"/>
        <v>14899.488856</v>
      </c>
      <c r="Q23">
        <f t="shared" si="9"/>
        <v>0.59456127126388547</v>
      </c>
      <c r="R23" s="4">
        <f t="shared" si="10"/>
        <v>7.2138051871225075</v>
      </c>
      <c r="S23" s="5">
        <f t="shared" si="17"/>
        <v>0.92829421845391824</v>
      </c>
      <c r="T23" s="10">
        <f t="shared" si="18"/>
        <v>1.566684566473989</v>
      </c>
      <c r="U23">
        <f t="shared" si="19"/>
        <v>0.63839034802007077</v>
      </c>
      <c r="V23">
        <f t="shared" si="20"/>
        <v>0.63040503830142625</v>
      </c>
      <c r="W23">
        <f t="shared" si="11"/>
        <v>0.59016684710535905</v>
      </c>
      <c r="X23">
        <f t="shared" si="12"/>
        <v>7.5332192256745145</v>
      </c>
      <c r="Y23">
        <f t="shared" si="13"/>
        <v>7.1746452191951597</v>
      </c>
      <c r="Z23">
        <f t="shared" si="14"/>
        <v>0.64343411246663651</v>
      </c>
      <c r="AA23">
        <f t="shared" si="15"/>
        <v>0.28486010598728173</v>
      </c>
      <c r="AB23">
        <f t="shared" si="21"/>
        <v>0.92829421845391824</v>
      </c>
      <c r="AC23" s="1">
        <f t="shared" si="22"/>
        <v>1.0859254248327623</v>
      </c>
      <c r="AD23" s="1">
        <f t="shared" si="23"/>
        <v>0.48075914164122657</v>
      </c>
      <c r="AE23" s="5">
        <f t="shared" si="16"/>
        <v>0.92829421845391824</v>
      </c>
      <c r="AF23" s="10">
        <f t="shared" si="24"/>
        <v>1.566684566473989</v>
      </c>
    </row>
    <row r="24" spans="1:32" x14ac:dyDescent="0.3">
      <c r="A24">
        <v>2022</v>
      </c>
      <c r="B24" s="1">
        <v>13705.772360000001</v>
      </c>
      <c r="C24" s="1">
        <v>7.2008963093145875</v>
      </c>
      <c r="D24" s="1">
        <v>15065.976128</v>
      </c>
      <c r="G24">
        <v>2022</v>
      </c>
      <c r="H24">
        <f t="shared" si="0"/>
        <v>7.2008963093145875</v>
      </c>
      <c r="I24">
        <f t="shared" si="1"/>
        <v>0.71489833445931716</v>
      </c>
      <c r="J24">
        <f t="shared" si="2"/>
        <v>19171.638398578416</v>
      </c>
      <c r="K24">
        <f t="shared" si="3"/>
        <v>0.78584708384220037</v>
      </c>
      <c r="L24">
        <f t="shared" si="4"/>
        <v>4.1272288768587657</v>
      </c>
      <c r="M24" s="3">
        <f t="shared" si="5"/>
        <v>156.72884362000312</v>
      </c>
      <c r="N24">
        <f t="shared" si="6"/>
        <v>37.974352355105992</v>
      </c>
      <c r="O24">
        <f t="shared" si="7"/>
        <v>15065.976128</v>
      </c>
      <c r="P24">
        <f t="shared" si="8"/>
        <v>13705.772360000001</v>
      </c>
      <c r="Q24">
        <f t="shared" si="9"/>
        <v>0.57315488233319889</v>
      </c>
      <c r="R24" s="4">
        <f t="shared" si="10"/>
        <v>6.9935145332881046</v>
      </c>
      <c r="S24" s="5">
        <f t="shared" si="17"/>
        <v>-0.22029065383440294</v>
      </c>
      <c r="T24" s="10">
        <f t="shared" si="18"/>
        <v>-4.1878257159402743E-2</v>
      </c>
      <c r="U24">
        <f t="shared" si="19"/>
        <v>0.1784123966750002</v>
      </c>
      <c r="V24">
        <f t="shared" si="20"/>
        <v>0.3637946355915293</v>
      </c>
      <c r="W24">
        <f t="shared" si="11"/>
        <v>0.93672545478035762</v>
      </c>
      <c r="X24">
        <f t="shared" si="12"/>
        <v>5.1386330546218595</v>
      </c>
      <c r="Y24">
        <f t="shared" si="13"/>
        <v>10.214662442291285</v>
      </c>
      <c r="Z24">
        <f t="shared" si="14"/>
        <v>-2.6481600207519143</v>
      </c>
      <c r="AA24">
        <f t="shared" si="15"/>
        <v>2.4278693669175113</v>
      </c>
      <c r="AB24">
        <f t="shared" si="21"/>
        <v>5.0760293876694256</v>
      </c>
      <c r="AC24" s="1">
        <f t="shared" si="22"/>
        <v>-2.5550824319520999</v>
      </c>
      <c r="AD24" s="1">
        <f t="shared" si="23"/>
        <v>2.5132041747926972</v>
      </c>
      <c r="AE24" s="5">
        <f t="shared" si="16"/>
        <v>-0.22029065383440294</v>
      </c>
      <c r="AF24" s="10">
        <f t="shared" si="24"/>
        <v>-4.1878257159402743E-2</v>
      </c>
    </row>
    <row r="25" spans="1:32" x14ac:dyDescent="0.3">
      <c r="A25">
        <v>2023</v>
      </c>
      <c r="B25" s="1">
        <v>14965.666464</v>
      </c>
      <c r="C25" s="1">
        <v>4.7430532445923461</v>
      </c>
      <c r="D25" s="1">
        <v>16729.037919999999</v>
      </c>
      <c r="G25">
        <v>2023</v>
      </c>
      <c r="H25">
        <f t="shared" si="0"/>
        <v>4.7430532445923461</v>
      </c>
      <c r="I25">
        <f t="shared" si="1"/>
        <v>0.76748543080163178</v>
      </c>
      <c r="J25">
        <f t="shared" si="2"/>
        <v>19499.609847145231</v>
      </c>
      <c r="K25">
        <f t="shared" si="3"/>
        <v>0.85791654556868746</v>
      </c>
      <c r="L25">
        <f t="shared" si="4"/>
        <v>2.4632003834625564</v>
      </c>
      <c r="M25" s="3">
        <f t="shared" si="5"/>
        <v>93.538439282839306</v>
      </c>
      <c r="N25">
        <f t="shared" si="6"/>
        <v>37.974352355105992</v>
      </c>
      <c r="O25">
        <f t="shared" si="7"/>
        <v>16729.037919999999</v>
      </c>
      <c r="P25">
        <f t="shared" si="8"/>
        <v>14965.666464</v>
      </c>
      <c r="Q25">
        <f t="shared" si="9"/>
        <v>0.51932800591494588</v>
      </c>
      <c r="R25" s="4">
        <f t="shared" si="10"/>
        <v>4.9461454327639949</v>
      </c>
      <c r="S25" s="5">
        <f t="shared" si="17"/>
        <v>-2.0473691005241097</v>
      </c>
      <c r="T25" s="10">
        <f t="shared" si="18"/>
        <v>-2.4578430647222413</v>
      </c>
      <c r="U25">
        <f t="shared" si="19"/>
        <v>-0.41047396419813165</v>
      </c>
      <c r="V25">
        <f t="shared" si="20"/>
        <v>0.96146624416965831</v>
      </c>
      <c r="W25">
        <f t="shared" si="11"/>
        <v>0.30958484910676914</v>
      </c>
      <c r="X25">
        <f t="shared" si="12"/>
        <v>7.526334094178913</v>
      </c>
      <c r="Y25">
        <f t="shared" si="13"/>
        <v>3.7221460855415973</v>
      </c>
      <c r="Z25">
        <f t="shared" si="14"/>
        <v>0.87840945405660298</v>
      </c>
      <c r="AA25">
        <f t="shared" si="15"/>
        <v>-2.9257785545807127</v>
      </c>
      <c r="AB25">
        <f t="shared" si="21"/>
        <v>3.8041880086373157</v>
      </c>
      <c r="AC25" s="1">
        <f t="shared" si="22"/>
        <v>0.78362859412615837</v>
      </c>
      <c r="AD25" s="1">
        <f t="shared" si="23"/>
        <v>-3.2414716588483996</v>
      </c>
      <c r="AE25" s="5">
        <f t="shared" si="16"/>
        <v>-2.0473691005241097</v>
      </c>
      <c r="AF25" s="10">
        <f t="shared" si="24"/>
        <v>-2.4578430647222413</v>
      </c>
    </row>
    <row r="26" spans="1:32" x14ac:dyDescent="0.3">
      <c r="A26">
        <v>2024</v>
      </c>
      <c r="B26" s="1">
        <v>15145.066440000001</v>
      </c>
      <c r="C26" s="1">
        <v>4.3227990235964207</v>
      </c>
      <c r="D26" s="1">
        <v>16676.678479999999</v>
      </c>
      <c r="G26">
        <v>2024</v>
      </c>
      <c r="H26">
        <f t="shared" si="0"/>
        <v>4.3227990235964207</v>
      </c>
      <c r="I26">
        <f t="shared" si="1"/>
        <v>0.77968637033080779</v>
      </c>
      <c r="J26">
        <f t="shared" si="2"/>
        <v>19424.562255172172</v>
      </c>
      <c r="K26">
        <f t="shared" si="3"/>
        <v>0.858535613875134</v>
      </c>
      <c r="L26">
        <f t="shared" si="4"/>
        <v>2.452770807723947</v>
      </c>
      <c r="M26" s="3">
        <f t="shared" si="5"/>
        <v>93.14238289882708</v>
      </c>
      <c r="N26">
        <f t="shared" si="6"/>
        <v>37.974352355105992</v>
      </c>
      <c r="O26">
        <f t="shared" si="7"/>
        <v>16676.678479999999</v>
      </c>
      <c r="P26">
        <f t="shared" si="8"/>
        <v>15145.066440000001</v>
      </c>
      <c r="Q26">
        <f t="shared" si="9"/>
        <v>0.56740338709601235</v>
      </c>
      <c r="R26" s="4">
        <f t="shared" si="10"/>
        <v>4.9333132059219942</v>
      </c>
      <c r="S26" s="5">
        <f t="shared" si="17"/>
        <v>-1.2832226842000694E-2</v>
      </c>
      <c r="T26" s="10">
        <f t="shared" si="18"/>
        <v>-0.42025422099592546</v>
      </c>
      <c r="U26">
        <f t="shared" si="19"/>
        <v>-0.40742199415392477</v>
      </c>
      <c r="V26">
        <f t="shared" si="20"/>
        <v>0.55703647147752822</v>
      </c>
      <c r="W26">
        <f t="shared" si="11"/>
        <v>0.52899313538367798</v>
      </c>
      <c r="X26">
        <f t="shared" si="12"/>
        <v>4.8781753347537231</v>
      </c>
      <c r="Y26">
        <f t="shared" si="13"/>
        <v>4.7290229822532091</v>
      </c>
      <c r="Z26">
        <f t="shared" si="14"/>
        <v>6.8160062829256685E-2</v>
      </c>
      <c r="AA26">
        <f t="shared" si="15"/>
        <v>-8.0992289671257378E-2</v>
      </c>
      <c r="AB26">
        <f t="shared" si="21"/>
        <v>0.14915235250051406</v>
      </c>
      <c r="AC26" s="1">
        <f t="shared" si="22"/>
        <v>-0.11802478946435266</v>
      </c>
      <c r="AD26" s="1">
        <f t="shared" si="23"/>
        <v>-0.30222943153157278</v>
      </c>
      <c r="AE26" s="5">
        <f t="shared" si="16"/>
        <v>-1.2832226842000694E-2</v>
      </c>
      <c r="AF26" s="10">
        <f t="shared" si="24"/>
        <v>-0.42025422099592546</v>
      </c>
    </row>
    <row r="27" spans="1:32" x14ac:dyDescent="0.3">
      <c r="A27">
        <v>2025</v>
      </c>
      <c r="B27" s="1">
        <v>16279.888408000001</v>
      </c>
      <c r="C27" s="1">
        <v>4</v>
      </c>
      <c r="D27" s="1">
        <v>18308.678919999998</v>
      </c>
      <c r="G27">
        <v>2025</v>
      </c>
      <c r="H27">
        <f t="shared" si="0"/>
        <v>4</v>
      </c>
      <c r="I27">
        <f t="shared" si="1"/>
        <v>0.79004131186337712</v>
      </c>
      <c r="J27">
        <f t="shared" si="2"/>
        <v>20606.376101526326</v>
      </c>
      <c r="K27">
        <f t="shared" si="3"/>
        <v>0.88849581458643101</v>
      </c>
      <c r="L27">
        <f t="shared" si="4"/>
        <v>2.0045972916249073</v>
      </c>
      <c r="M27" s="3">
        <f t="shared" si="5"/>
        <v>76.123283882255379</v>
      </c>
      <c r="N27">
        <f t="shared" si="6"/>
        <v>37.974352355105992</v>
      </c>
      <c r="O27">
        <f t="shared" si="7"/>
        <v>18308.678919999998</v>
      </c>
      <c r="P27">
        <f t="shared" si="8"/>
        <v>16279.888408000001</v>
      </c>
      <c r="Q27">
        <f t="shared" si="9"/>
        <v>0.50114932290622671</v>
      </c>
      <c r="R27" s="4">
        <f t="shared" si="10"/>
        <v>4.3818943977850742</v>
      </c>
      <c r="S27" s="5">
        <f t="shared" si="17"/>
        <v>-0.55141880813692001</v>
      </c>
      <c r="T27" s="10">
        <f t="shared" si="18"/>
        <v>-0.32279902359642065</v>
      </c>
      <c r="U27">
        <f t="shared" si="19"/>
        <v>0.22861978454049936</v>
      </c>
      <c r="V27">
        <f t="shared" si="20"/>
        <v>0.86792375584651005</v>
      </c>
      <c r="W27">
        <f t="shared" si="11"/>
        <v>0.32762534881941108</v>
      </c>
      <c r="X27">
        <f t="shared" si="12"/>
        <v>6.1869659908359536</v>
      </c>
      <c r="Y27">
        <f t="shared" si="13"/>
        <v>3.527900312574654</v>
      </c>
      <c r="Z27">
        <f t="shared" si="14"/>
        <v>1.0538234350621898</v>
      </c>
      <c r="AA27">
        <f t="shared" si="15"/>
        <v>-1.6052422431991098</v>
      </c>
      <c r="AB27">
        <f t="shared" si="21"/>
        <v>2.6590656782612996</v>
      </c>
      <c r="AC27" s="1">
        <f t="shared" si="22"/>
        <v>1.1444285256537023</v>
      </c>
      <c r="AD27" s="1">
        <f t="shared" si="23"/>
        <v>-1.467227549250123</v>
      </c>
      <c r="AE27" s="5">
        <f t="shared" si="16"/>
        <v>-0.55141880813692001</v>
      </c>
      <c r="AF27" s="10">
        <f t="shared" si="24"/>
        <v>-0.32279902359642065</v>
      </c>
    </row>
    <row r="28" spans="1:32" x14ac:dyDescent="0.3">
      <c r="C28" cm="1">
        <f t="array" ref="C28">_xlfn.STDEV.P(D2:D27/B2:B27)</f>
        <v>3.3829733555850817E-2</v>
      </c>
    </row>
    <row r="29" spans="1:32" x14ac:dyDescent="0.3">
      <c r="B29" s="2" t="s">
        <v>51</v>
      </c>
      <c r="C29" s="2" t="s">
        <v>5</v>
      </c>
      <c r="D29" s="2" t="s">
        <v>52</v>
      </c>
    </row>
    <row r="30" spans="1:32" x14ac:dyDescent="0.3">
      <c r="A30">
        <v>2025</v>
      </c>
      <c r="B30" s="1">
        <v>413531</v>
      </c>
      <c r="C30" s="1">
        <v>4</v>
      </c>
      <c r="D30" s="1">
        <v>465065</v>
      </c>
      <c r="G30">
        <v>2025</v>
      </c>
      <c r="H30">
        <v>4</v>
      </c>
      <c r="I30">
        <v>0.79004131186337712</v>
      </c>
      <c r="J30">
        <v>523429.59006112389</v>
      </c>
      <c r="K30">
        <v>0.88849581458643112</v>
      </c>
      <c r="L30">
        <v>2.004597291624906</v>
      </c>
      <c r="M30" s="3">
        <v>76.123283882255336</v>
      </c>
      <c r="N30">
        <v>37.974352355105992</v>
      </c>
      <c r="O30">
        <v>465065</v>
      </c>
      <c r="P30">
        <v>413531</v>
      </c>
      <c r="Q30">
        <v>0.50114932290622616</v>
      </c>
      <c r="R30" s="4">
        <v>4.3818943977850715</v>
      </c>
      <c r="S30" s="5">
        <v>-0.55141880813692268</v>
      </c>
      <c r="T30" s="10">
        <v>-0.32279902359642065</v>
      </c>
      <c r="U30">
        <v>0.22861978454050202</v>
      </c>
      <c r="V30">
        <v>0.86792375584650883</v>
      </c>
      <c r="W30">
        <v>0.32762534881941108</v>
      </c>
      <c r="X30">
        <v>6.1869659908359473</v>
      </c>
      <c r="Y30">
        <v>3.527900312574654</v>
      </c>
      <c r="Z30">
        <v>1.0538234350621853</v>
      </c>
      <c r="AA30">
        <v>-1.605242243199108</v>
      </c>
      <c r="AB30">
        <v>2.6590656782612934</v>
      </c>
      <c r="AC30" s="1">
        <v>1.1444285256536988</v>
      </c>
      <c r="AD30" s="1">
        <v>-1.4672275492501194</v>
      </c>
      <c r="AE30" s="5">
        <v>-0.55141880813692268</v>
      </c>
      <c r="AF30" s="10">
        <v>-0.32279902359642065</v>
      </c>
    </row>
    <row r="31" spans="1:32" x14ac:dyDescent="0.3">
      <c r="A31" t="s">
        <v>50</v>
      </c>
      <c r="B31" s="1">
        <f>B30-100</f>
        <v>413431</v>
      </c>
      <c r="C31" s="1">
        <v>4</v>
      </c>
      <c r="D31" s="1">
        <f>D30-100</f>
        <v>464965</v>
      </c>
      <c r="G31" t="s">
        <v>50</v>
      </c>
      <c r="H31">
        <f t="shared" ref="H31" si="25">C31</f>
        <v>4</v>
      </c>
      <c r="I31">
        <f t="shared" ref="I31" si="26">H31^$F$1</f>
        <v>0.79004131186337712</v>
      </c>
      <c r="J31">
        <f t="shared" ref="J31" si="27">B31/I31</f>
        <v>523303.01440172683</v>
      </c>
      <c r="K31">
        <f t="shared" ref="K31" si="28">D31/J31</f>
        <v>0.88851962859716649</v>
      </c>
      <c r="L31">
        <f t="shared" ref="L31" si="29">K31^$F$2</f>
        <v>2.0042812710771383</v>
      </c>
      <c r="M31" s="3">
        <f t="shared" ref="M31" si="30">100*L31/$L$11</f>
        <v>76.111283206622957</v>
      </c>
      <c r="N31">
        <f t="shared" ref="N31" si="31">100*$K$11^-$F$2</f>
        <v>37.974352355105992</v>
      </c>
      <c r="O31">
        <f t="shared" ref="O31" si="32">D31</f>
        <v>464965</v>
      </c>
      <c r="P31">
        <f t="shared" ref="P31" si="33">B31</f>
        <v>413431</v>
      </c>
      <c r="Q31">
        <f t="shared" ref="Q31" si="34">(D31/B31)^$F$2</f>
        <v>0.50107031776928435</v>
      </c>
      <c r="R31" s="4">
        <f t="shared" ref="R31" si="35">$F$3+$F$4*(N31*H31)*Q31</f>
        <v>4.3815055758945824</v>
      </c>
      <c r="S31" s="5">
        <f>R31-R30</f>
        <v>-3.8882189048905502E-4</v>
      </c>
      <c r="T31" s="10">
        <f>H31-H30</f>
        <v>0</v>
      </c>
      <c r="U31">
        <f>T31-S31</f>
        <v>3.8882189048905502E-4</v>
      </c>
      <c r="V31">
        <f>(D30/B31)^$F$2</f>
        <v>0.50043687390062985</v>
      </c>
      <c r="W31">
        <f>(D31/B30)^$F$2</f>
        <v>0.50178366857983925</v>
      </c>
      <c r="X31">
        <f t="shared" ref="X31" si="36">$F$3+$F$4*(N31*H31)*V31</f>
        <v>4.3783880970563382</v>
      </c>
      <c r="Y31">
        <f t="shared" ref="Y31" si="37">$F$3+$F$4*(N31*H31)*W31</f>
        <v>4.3850163148348349</v>
      </c>
      <c r="Z31">
        <f>0.5*((X31-R30)+(R31-Y31))</f>
        <v>-3.5085198344928514E-3</v>
      </c>
      <c r="AA31">
        <f>0.5*((Y31-R30)+(R31-X31))</f>
        <v>3.1196979440037964E-3</v>
      </c>
      <c r="AB31">
        <f t="shared" ref="AB31" si="38">ABS(Z31)+ABS(AA31)</f>
        <v>6.6282177784966478E-3</v>
      </c>
      <c r="AC31" s="1">
        <f t="shared" ref="AC31" si="39">Z31+U31*(ABS(Z31)/AB31)</f>
        <v>-3.3027044312495275E-3</v>
      </c>
      <c r="AD31" s="1">
        <f t="shared" ref="AD31" si="40">AA31+U31*(ABS(AA31)/AB31)</f>
        <v>3.3027044312495275E-3</v>
      </c>
      <c r="AE31" s="5">
        <f t="shared" ref="AE31" si="41">Z31+AA31</f>
        <v>-3.8882189048905502E-4</v>
      </c>
      <c r="AF31" s="10">
        <f t="shared" ref="AF31" si="42">AD31+AC31</f>
        <v>0</v>
      </c>
    </row>
    <row r="32" spans="1:32" x14ac:dyDescent="0.3">
      <c r="C32">
        <f>D31/B31</f>
        <v>1.1246495787688877</v>
      </c>
    </row>
    <row r="33" spans="3:19" x14ac:dyDescent="0.3">
      <c r="C33">
        <f>(AVERAGE(D2:D27)/AVERAGE(B2:B27))+3*C28</f>
        <v>1.22545413679201</v>
      </c>
      <c r="H33" cm="1">
        <f t="array" ref="H33">_xlfn.STDEV.P(LN(H2:H27))</f>
        <v>0.27728300083265961</v>
      </c>
      <c r="P33" s="11" t="s">
        <v>53</v>
      </c>
      <c r="Q33" s="11">
        <f>_xlfn.STDEV.P(Q2:Q27)</f>
        <v>8.6204936683880781E-2</v>
      </c>
      <c r="S33" s="11" t="s">
        <v>56</v>
      </c>
    </row>
    <row r="34" spans="3:19" x14ac:dyDescent="0.3">
      <c r="C34">
        <f>(AVERAGE(D2:D27)/AVERAGE(B2:B27))-3*C28</f>
        <v>1.022475735456905</v>
      </c>
      <c r="H34">
        <f>AVERAGE(H2:H27)/EXP(2*H33)</f>
        <v>3.1376933731742507</v>
      </c>
      <c r="P34" s="11" t="s">
        <v>54</v>
      </c>
      <c r="Q34" s="11">
        <f>AVERAGE(Q2:Q27)+2*Q33</f>
        <v>0.68063019970857874</v>
      </c>
      <c r="S34" s="11" cm="1">
        <f t="array" ref="S34">(LN(Q31) - AVERAGE(LN(Q2:Q27))) / _xlfn.STDEV.P(LN(Q2:Q27))</f>
        <v>4.9963771733579051E-3</v>
      </c>
    </row>
    <row r="35" spans="3:19" x14ac:dyDescent="0.3">
      <c r="H35">
        <f>AVERAGE(H2:H27)*EXP(2*H33)</f>
        <v>9.5126257140899622</v>
      </c>
      <c r="P35" s="11" t="s">
        <v>55</v>
      </c>
      <c r="Q35" s="11">
        <f>AVERAGE(Q2:Q27)-2*Q33</f>
        <v>0.33581045297305556</v>
      </c>
      <c r="S35">
        <f>((Q31) - AVERAGE((Q2:Q27))) / _xlfn.STDEV.P((Q2:Q27))</f>
        <v>-8.2941985071601665E-2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E932-1507-44CC-88B2-93B9B1437664}">
  <dimension ref="A1:E26"/>
  <sheetViews>
    <sheetView workbookViewId="0">
      <selection activeCell="A7" sqref="A7:XFD7"/>
    </sheetView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</cols>
  <sheetData>
    <row r="1" spans="1:5" x14ac:dyDescent="0.3">
      <c r="A1" t="s">
        <v>0</v>
      </c>
      <c r="B1" t="s">
        <v>42</v>
      </c>
      <c r="C1" t="s">
        <v>43</v>
      </c>
      <c r="D1" t="s">
        <v>44</v>
      </c>
    </row>
    <row r="2" spans="1:5" x14ac:dyDescent="0.3">
      <c r="A2">
        <v>2001</v>
      </c>
      <c r="B2" s="8">
        <f>'Shapley Decomposition'!T3</f>
        <v>0.11810711790467465</v>
      </c>
      <c r="C2" s="8">
        <f>'Shapley Decomposition'!AD3</f>
        <v>8.1072142761747623E-2</v>
      </c>
      <c r="D2" s="8">
        <f>'Shapley Decomposition'!AC3</f>
        <v>3.7034975142927029E-2</v>
      </c>
      <c r="E2" s="8"/>
    </row>
    <row r="3" spans="1:5" x14ac:dyDescent="0.3">
      <c r="A3">
        <v>2002</v>
      </c>
      <c r="B3" s="8">
        <f>'Shapley Decomposition'!T4</f>
        <v>0.59283462268281939</v>
      </c>
      <c r="C3" s="8">
        <f>'Shapley Decomposition'!AD4</f>
        <v>1.0270971526718824</v>
      </c>
      <c r="D3" s="8">
        <f>'Shapley Decomposition'!AC4</f>
        <v>-0.43426252998906306</v>
      </c>
      <c r="E3" s="8"/>
    </row>
    <row r="4" spans="1:5" x14ac:dyDescent="0.3">
      <c r="A4">
        <v>2003</v>
      </c>
      <c r="B4" s="8">
        <f>'Shapley Decomposition'!T5</f>
        <v>9.4410973797540265E-2</v>
      </c>
      <c r="C4" s="8">
        <f>'Shapley Decomposition'!AD5</f>
        <v>-1.1438167616066472</v>
      </c>
      <c r="D4" s="8">
        <f>'Shapley Decomposition'!AC5</f>
        <v>1.2382277354041875</v>
      </c>
      <c r="E4" s="8"/>
    </row>
    <row r="5" spans="1:5" x14ac:dyDescent="0.3">
      <c r="A5">
        <v>2004</v>
      </c>
      <c r="B5" s="8">
        <f>'Shapley Decomposition'!T6</f>
        <v>-0.79156602658788655</v>
      </c>
      <c r="C5" s="8">
        <f>'Shapley Decomposition'!AD6</f>
        <v>-1.14235263248051</v>
      </c>
      <c r="D5" s="8">
        <f>'Shapley Decomposition'!AC6</f>
        <v>0.35078660589262362</v>
      </c>
      <c r="E5" s="8"/>
    </row>
    <row r="6" spans="1:5" x14ac:dyDescent="0.3">
      <c r="A6">
        <v>2005</v>
      </c>
      <c r="B6" s="8">
        <f>'Shapley Decomposition'!T7</f>
        <v>-0.19228145048814538</v>
      </c>
      <c r="C6" s="8">
        <f>'Shapley Decomposition'!AD7</f>
        <v>-0.50343869990601453</v>
      </c>
      <c r="D6" s="8">
        <f>'Shapley Decomposition'!AC7</f>
        <v>0.31115724941786915</v>
      </c>
      <c r="E6" s="8"/>
    </row>
    <row r="7" spans="1:5" x14ac:dyDescent="0.3">
      <c r="A7">
        <v>2006</v>
      </c>
      <c r="B7" s="8">
        <f>'Shapley Decomposition'!T8</f>
        <v>1.6944182352292891</v>
      </c>
      <c r="C7" s="8">
        <f>'Shapley Decomposition'!AD8</f>
        <v>1.3794704096849197</v>
      </c>
      <c r="D7" s="8">
        <f>'Shapley Decomposition'!AC8</f>
        <v>0.3149478255443694</v>
      </c>
      <c r="E7" s="8"/>
    </row>
    <row r="8" spans="1:5" x14ac:dyDescent="0.3">
      <c r="A8">
        <v>2007</v>
      </c>
      <c r="B8" s="8">
        <f>'Shapley Decomposition'!T9</f>
        <v>1.7077109216808752</v>
      </c>
      <c r="C8" s="8">
        <f>'Shapley Decomposition'!AD9</f>
        <v>-2.9255784167605436</v>
      </c>
      <c r="D8" s="8">
        <f>'Shapley Decomposition'!AC9</f>
        <v>4.6332893384414193</v>
      </c>
      <c r="E8" s="8"/>
    </row>
    <row r="9" spans="1:5" x14ac:dyDescent="0.3">
      <c r="A9">
        <v>2008</v>
      </c>
      <c r="B9" s="8">
        <f>'Shapley Decomposition'!T10</f>
        <v>-0.56990939796430951</v>
      </c>
      <c r="C9" s="8">
        <f>'Shapley Decomposition'!AD10</f>
        <v>0.91312931236067341</v>
      </c>
      <c r="D9" s="8">
        <f>'Shapley Decomposition'!AC10</f>
        <v>-1.4830387103249829</v>
      </c>
      <c r="E9" s="8"/>
    </row>
    <row r="10" spans="1:5" x14ac:dyDescent="0.3">
      <c r="A10" s="6">
        <v>2009</v>
      </c>
      <c r="B10" s="8">
        <f>'Shapley Decomposition'!T11</f>
        <v>-0.89614172726112873</v>
      </c>
      <c r="C10" s="8">
        <f>'Shapley Decomposition'!AD11</f>
        <v>-2.0041136718579784</v>
      </c>
      <c r="D10" s="8">
        <f>'Shapley Decomposition'!AC11</f>
        <v>1.1079719445968499</v>
      </c>
      <c r="E10" s="8"/>
    </row>
    <row r="11" spans="1:5" x14ac:dyDescent="0.3">
      <c r="A11">
        <v>2010</v>
      </c>
      <c r="B11" s="8">
        <f>'Shapley Decomposition'!T12</f>
        <v>2.4361246309246312</v>
      </c>
      <c r="C11" s="8">
        <f>'Shapley Decomposition'!AD12</f>
        <v>1.797814865573466</v>
      </c>
      <c r="D11" s="8">
        <f>'Shapley Decomposition'!AC12</f>
        <v>0.63830976535116501</v>
      </c>
      <c r="E11" s="8"/>
    </row>
    <row r="12" spans="1:5" x14ac:dyDescent="0.3">
      <c r="A12">
        <v>2011</v>
      </c>
      <c r="B12" s="8">
        <f>'Shapley Decomposition'!T13</f>
        <v>1.2480706007442839</v>
      </c>
      <c r="C12" s="8">
        <f>'Shapley Decomposition'!AD13</f>
        <v>2.5760862461716378</v>
      </c>
      <c r="D12" s="8">
        <f>'Shapley Decomposition'!AC13</f>
        <v>-1.3280156454273542</v>
      </c>
      <c r="E12" s="8"/>
    </row>
    <row r="13" spans="1:5" x14ac:dyDescent="0.3">
      <c r="A13">
        <v>2012</v>
      </c>
      <c r="B13" s="8">
        <f>'Shapley Decomposition'!T14</f>
        <v>0.73982508211167364</v>
      </c>
      <c r="C13" s="8">
        <f>'Shapley Decomposition'!AD14</f>
        <v>6.4568162126888238</v>
      </c>
      <c r="D13" s="8">
        <f>'Shapley Decomposition'!AC14</f>
        <v>-5.7169911305771501</v>
      </c>
      <c r="E13" s="8"/>
    </row>
    <row r="14" spans="1:5" x14ac:dyDescent="0.3">
      <c r="A14">
        <v>2013</v>
      </c>
      <c r="B14" s="8">
        <f>'Shapley Decomposition'!T15</f>
        <v>-3.5690751626937063</v>
      </c>
      <c r="C14" s="8">
        <f>'Shapley Decomposition'!AD15</f>
        <v>-9.0235598178582475</v>
      </c>
      <c r="D14" s="8">
        <f>'Shapley Decomposition'!AC15</f>
        <v>5.4544846551645403</v>
      </c>
      <c r="E14" s="8"/>
    </row>
    <row r="15" spans="1:5" x14ac:dyDescent="0.3">
      <c r="A15">
        <v>2014</v>
      </c>
      <c r="B15" s="8">
        <f>'Shapley Decomposition'!T16</f>
        <v>-1.1859217102812627</v>
      </c>
      <c r="C15" s="8">
        <f>'Shapley Decomposition'!AD16</f>
        <v>-1.1915498551751129</v>
      </c>
      <c r="D15" s="8">
        <f>'Shapley Decomposition'!AC16</f>
        <v>5.628144893850202E-3</v>
      </c>
      <c r="E15" s="8"/>
    </row>
    <row r="16" spans="1:5" x14ac:dyDescent="0.3">
      <c r="A16">
        <v>2015</v>
      </c>
      <c r="B16" s="8">
        <f>'Shapley Decomposition'!T17</f>
        <v>-0.21541440645144405</v>
      </c>
      <c r="C16" s="8">
        <f>'Shapley Decomposition'!AD17</f>
        <v>1.7070624737407704E-2</v>
      </c>
      <c r="D16" s="8">
        <f>'Shapley Decomposition'!AC17</f>
        <v>-0.23248503118885175</v>
      </c>
      <c r="E16" s="8"/>
    </row>
    <row r="17" spans="1:5" x14ac:dyDescent="0.3">
      <c r="A17">
        <v>2016</v>
      </c>
      <c r="B17" s="8">
        <f>'Shapley Decomposition'!T18</f>
        <v>-0.35296492663794776</v>
      </c>
      <c r="C17" s="8">
        <f>'Shapley Decomposition'!AD18</f>
        <v>-1.4374209193178138</v>
      </c>
      <c r="D17" s="8">
        <f>'Shapley Decomposition'!AC18</f>
        <v>1.084455992679866</v>
      </c>
      <c r="E17" s="8"/>
    </row>
    <row r="18" spans="1:5" x14ac:dyDescent="0.3">
      <c r="A18">
        <v>2017</v>
      </c>
      <c r="B18" s="8">
        <f>'Shapley Decomposition'!T19</f>
        <v>-3.869234312839076E-2</v>
      </c>
      <c r="C18" s="8">
        <f>'Shapley Decomposition'!AD19</f>
        <v>-1.5705270841658021E-2</v>
      </c>
      <c r="D18" s="8">
        <f>'Shapley Decomposition'!AC19</f>
        <v>-2.2987072286732718E-2</v>
      </c>
      <c r="E18" s="8"/>
    </row>
    <row r="19" spans="1:5" x14ac:dyDescent="0.3">
      <c r="A19">
        <v>2018</v>
      </c>
      <c r="B19" s="8">
        <f>'Shapley Decomposition'!T20</f>
        <v>0.2682516542155815</v>
      </c>
      <c r="C19" s="8">
        <f>'Shapley Decomposition'!AD20</f>
        <v>0.62107801889113268</v>
      </c>
      <c r="D19" s="8">
        <f>'Shapley Decomposition'!AC20</f>
        <v>-0.35282636467555112</v>
      </c>
      <c r="E19" s="8"/>
    </row>
    <row r="20" spans="1:5" x14ac:dyDescent="0.3">
      <c r="A20">
        <v>2019</v>
      </c>
      <c r="B20" s="8">
        <f>'Shapley Decomposition'!T21</f>
        <v>-0.15325950413223044</v>
      </c>
      <c r="C20" s="8">
        <f>'Shapley Decomposition'!AD21</f>
        <v>0.42160285585514296</v>
      </c>
      <c r="D20" s="8">
        <f>'Shapley Decomposition'!AC21</f>
        <v>-0.57486235998737345</v>
      </c>
      <c r="E20" s="8"/>
    </row>
    <row r="21" spans="1:5" x14ac:dyDescent="0.3">
      <c r="A21">
        <v>2020</v>
      </c>
      <c r="B21" s="8">
        <f>'Shapley Decomposition'!T22</f>
        <v>1.0679495041322316</v>
      </c>
      <c r="C21" s="8">
        <f>'Shapley Decomposition'!AD22</f>
        <v>-0.10770371360063237</v>
      </c>
      <c r="D21" s="8">
        <f>'Shapley Decomposition'!AC22</f>
        <v>1.1756532177328638</v>
      </c>
      <c r="E21" s="8"/>
    </row>
    <row r="22" spans="1:5" x14ac:dyDescent="0.3">
      <c r="A22">
        <v>2021</v>
      </c>
      <c r="B22" s="8">
        <f>'Shapley Decomposition'!T23</f>
        <v>1.566684566473989</v>
      </c>
      <c r="C22" s="8">
        <f>'Shapley Decomposition'!AD23</f>
        <v>0.48075914164122657</v>
      </c>
      <c r="D22" s="8">
        <f>'Shapley Decomposition'!AC23</f>
        <v>1.0859254248327623</v>
      </c>
      <c r="E22" s="8"/>
    </row>
    <row r="23" spans="1:5" x14ac:dyDescent="0.3">
      <c r="A23">
        <v>2022</v>
      </c>
      <c r="B23" s="8">
        <f>'Shapley Decomposition'!T24</f>
        <v>-4.1878257159402743E-2</v>
      </c>
      <c r="C23" s="8">
        <f>'Shapley Decomposition'!AD24</f>
        <v>2.5132041747926972</v>
      </c>
      <c r="D23" s="8">
        <f>'Shapley Decomposition'!AC24</f>
        <v>-2.5550824319520999</v>
      </c>
      <c r="E23" s="8"/>
    </row>
    <row r="24" spans="1:5" x14ac:dyDescent="0.3">
      <c r="A24">
        <v>2023</v>
      </c>
      <c r="B24" s="8">
        <f>'Shapley Decomposition'!T25</f>
        <v>-2.4578430647222413</v>
      </c>
      <c r="C24" s="8">
        <f>'Shapley Decomposition'!AD25</f>
        <v>-3.2414716588483996</v>
      </c>
      <c r="D24" s="8">
        <f>'Shapley Decomposition'!AC25</f>
        <v>0.78362859412615837</v>
      </c>
      <c r="E24" s="8"/>
    </row>
    <row r="25" spans="1:5" x14ac:dyDescent="0.3">
      <c r="A25">
        <v>2024</v>
      </c>
      <c r="B25" s="8">
        <f>'Shapley Decomposition'!T26</f>
        <v>-0.42025422099592546</v>
      </c>
      <c r="C25" s="8">
        <f>'Shapley Decomposition'!AD26</f>
        <v>-0.30222943153157278</v>
      </c>
      <c r="D25" s="8">
        <f>'Shapley Decomposition'!AC26</f>
        <v>-0.11802478946435266</v>
      </c>
      <c r="E25" s="8"/>
    </row>
    <row r="26" spans="1:5" x14ac:dyDescent="0.3">
      <c r="A26">
        <v>2025</v>
      </c>
      <c r="B26" s="8">
        <f>'Shapley Decomposition'!T27</f>
        <v>-0.32279902359642065</v>
      </c>
      <c r="C26" s="8">
        <f>'Shapley Decomposition'!AD27</f>
        <v>-1.467227549250123</v>
      </c>
      <c r="D26" s="8">
        <f>'Shapley Decomposition'!AC27</f>
        <v>1.1444285256537023</v>
      </c>
      <c r="E26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1641-B7F7-43C3-83E0-14EF6DDBB62C}">
  <dimension ref="A1:F26"/>
  <sheetViews>
    <sheetView topLeftCell="D1" workbookViewId="0">
      <selection activeCell="C2" sqref="C2"/>
    </sheetView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  <col min="5" max="5" width="13.77734375" bestFit="1" customWidth="1"/>
  </cols>
  <sheetData>
    <row r="1" spans="1:6" x14ac:dyDescent="0.3">
      <c r="A1" t="s">
        <v>0</v>
      </c>
      <c r="B1" t="s">
        <v>42</v>
      </c>
      <c r="C1" t="s">
        <v>43</v>
      </c>
      <c r="D1" t="s">
        <v>44</v>
      </c>
      <c r="E1" t="s">
        <v>48</v>
      </c>
    </row>
    <row r="2" spans="1:6" x14ac:dyDescent="0.3">
      <c r="A2">
        <v>2001</v>
      </c>
      <c r="B2" s="8">
        <f>'Shapley Decomposition'!T3</f>
        <v>0.11810711790467465</v>
      </c>
      <c r="C2" s="8">
        <f>'Shapley Decomposition'!AA3</f>
        <v>0.23163161167927138</v>
      </c>
      <c r="D2" s="8">
        <f>'Shapley Decomposition'!Z3</f>
        <v>0.10581280682401717</v>
      </c>
      <c r="E2" s="8">
        <f>'Shapley Decomposition'!U3</f>
        <v>-0.21933730059861389</v>
      </c>
      <c r="F2" s="8">
        <f>SUM(C2:E2)</f>
        <v>0.11810711790467465</v>
      </c>
    </row>
    <row r="3" spans="1:6" x14ac:dyDescent="0.3">
      <c r="A3">
        <v>2002</v>
      </c>
      <c r="B3" s="8">
        <f>'Shapley Decomposition'!T4</f>
        <v>0.59283462268281939</v>
      </c>
      <c r="C3" s="8">
        <f>'Shapley Decomposition'!AA4</f>
        <v>1.2894373278603017</v>
      </c>
      <c r="D3" s="8">
        <f>'Shapley Decomposition'!Z4</f>
        <v>-0.36084703841809129</v>
      </c>
      <c r="E3" s="8">
        <f>'Shapley Decomposition'!U4</f>
        <v>-0.33575566675939106</v>
      </c>
      <c r="F3" s="8">
        <f t="shared" ref="F3:F26" si="0">SUM(C3:E3)</f>
        <v>0.59283462268281939</v>
      </c>
    </row>
    <row r="4" spans="1:6" x14ac:dyDescent="0.3">
      <c r="A4">
        <v>2003</v>
      </c>
      <c r="B4" s="8">
        <f>'Shapley Decomposition'!T5</f>
        <v>9.4410973797540265E-2</v>
      </c>
      <c r="C4" s="8">
        <f>'Shapley Decomposition'!AA5</f>
        <v>-1.0149261449455</v>
      </c>
      <c r="D4" s="8">
        <f>'Shapley Decomposition'!Z5</f>
        <v>1.4183513662163856</v>
      </c>
      <c r="E4" s="8">
        <f>'Shapley Decomposition'!U5</f>
        <v>-0.30901424747334527</v>
      </c>
      <c r="F4" s="8">
        <f t="shared" si="0"/>
        <v>9.4410973797540265E-2</v>
      </c>
    </row>
    <row r="5" spans="1:6" x14ac:dyDescent="0.3">
      <c r="A5">
        <v>2004</v>
      </c>
      <c r="B5" s="8">
        <f>'Shapley Decomposition'!T6</f>
        <v>-0.79156602658788655</v>
      </c>
      <c r="C5" s="8">
        <f>'Shapley Decomposition'!AA6</f>
        <v>-1.9379633573523589</v>
      </c>
      <c r="D5" s="8">
        <f>'Shapley Decomposition'!Z6</f>
        <v>0.24868965245557573</v>
      </c>
      <c r="E5" s="8">
        <f>'Shapley Decomposition'!U6</f>
        <v>0.89770767830889664</v>
      </c>
      <c r="F5" s="8">
        <f t="shared" si="0"/>
        <v>-0.79156602658788655</v>
      </c>
    </row>
    <row r="6" spans="1:6" x14ac:dyDescent="0.3">
      <c r="A6">
        <v>2005</v>
      </c>
      <c r="B6" s="8">
        <f>'Shapley Decomposition'!T7</f>
        <v>-0.19228145048814538</v>
      </c>
      <c r="C6" s="8">
        <f>'Shapley Decomposition'!AA7</f>
        <v>-0.37354108129771757</v>
      </c>
      <c r="D6" s="8">
        <f>'Shapley Decomposition'!Z7</f>
        <v>0.477049595824109</v>
      </c>
      <c r="E6" s="8">
        <f>'Shapley Decomposition'!U7</f>
        <v>-0.2957899650145368</v>
      </c>
      <c r="F6" s="8">
        <f t="shared" si="0"/>
        <v>-0.19228145048814538</v>
      </c>
    </row>
    <row r="7" spans="1:6" x14ac:dyDescent="0.3">
      <c r="A7">
        <v>2006</v>
      </c>
      <c r="B7" s="8">
        <f>'Shapley Decomposition'!T8</f>
        <v>1.6944182352292891</v>
      </c>
      <c r="C7" s="8">
        <f>'Shapley Decomposition'!AA8</f>
        <v>1.3623319538575283</v>
      </c>
      <c r="D7" s="8">
        <f>'Shapley Decomposition'!Z8</f>
        <v>0.31103493306176944</v>
      </c>
      <c r="E7" s="8">
        <f>'Shapley Decomposition'!U8</f>
        <v>2.1051348309991447E-2</v>
      </c>
      <c r="F7" s="8">
        <f t="shared" si="0"/>
        <v>1.6944182352292891</v>
      </c>
    </row>
    <row r="8" spans="1:6" x14ac:dyDescent="0.3">
      <c r="A8">
        <v>2007</v>
      </c>
      <c r="B8" s="8">
        <f>'Shapley Decomposition'!T9</f>
        <v>1.7077109216808752</v>
      </c>
      <c r="C8" s="8">
        <f>'Shapley Decomposition'!AA9</f>
        <v>-3.3071362675964235</v>
      </c>
      <c r="D8" s="8">
        <f>'Shapley Decomposition'!Z9</f>
        <v>4.154022729306627</v>
      </c>
      <c r="E8" s="8">
        <f>'Shapley Decomposition'!U9</f>
        <v>0.86082445997067225</v>
      </c>
      <c r="F8" s="8">
        <f t="shared" si="0"/>
        <v>1.7077109216808757</v>
      </c>
    </row>
    <row r="9" spans="1:6" x14ac:dyDescent="0.3">
      <c r="A9">
        <v>2008</v>
      </c>
      <c r="B9" s="8">
        <f>'Shapley Decomposition'!T10</f>
        <v>-0.56990939796430951</v>
      </c>
      <c r="C9" s="8">
        <f>'Shapley Decomposition'!AA10</f>
        <v>0.91108983742955196</v>
      </c>
      <c r="D9" s="8">
        <f>'Shapley Decomposition'!Z10</f>
        <v>-1.4863659410223864</v>
      </c>
      <c r="E9" s="8">
        <f>'Shapley Decomposition'!U10</f>
        <v>5.3667056285249259E-3</v>
      </c>
      <c r="F9" s="8">
        <f t="shared" si="0"/>
        <v>-0.56990939796430951</v>
      </c>
    </row>
    <row r="10" spans="1:6" x14ac:dyDescent="0.3">
      <c r="A10" s="6">
        <v>2009</v>
      </c>
      <c r="B10" s="8">
        <f>'Shapley Decomposition'!T11</f>
        <v>-0.89614172726112873</v>
      </c>
      <c r="C10" s="8">
        <f>'Shapley Decomposition'!AA11</f>
        <v>-1.7109316335039737</v>
      </c>
      <c r="D10" s="8">
        <f>'Shapley Decomposition'!Z11</f>
        <v>1.3370938390887992</v>
      </c>
      <c r="E10" s="8">
        <f>'Shapley Decomposition'!U11</f>
        <v>-0.52230393284595422</v>
      </c>
      <c r="F10" s="8">
        <f t="shared" si="0"/>
        <v>-0.89614172726112873</v>
      </c>
    </row>
    <row r="11" spans="1:6" x14ac:dyDescent="0.3">
      <c r="A11">
        <v>2010</v>
      </c>
      <c r="B11" s="8">
        <f>'Shapley Decomposition'!T12</f>
        <v>2.4361246309246312</v>
      </c>
      <c r="C11" s="8">
        <f>'Shapley Decomposition'!AA12</f>
        <v>1.9933825060509474</v>
      </c>
      <c r="D11" s="8">
        <f>'Shapley Decomposition'!Z12</f>
        <v>0.70774557717689657</v>
      </c>
      <c r="E11" s="8">
        <f>'Shapley Decomposition'!U12</f>
        <v>-0.26500345230321276</v>
      </c>
      <c r="F11" s="8">
        <f t="shared" si="0"/>
        <v>2.4361246309246312</v>
      </c>
    </row>
    <row r="12" spans="1:6" x14ac:dyDescent="0.3">
      <c r="A12">
        <v>2011</v>
      </c>
      <c r="B12" s="8">
        <f>'Shapley Decomposition'!T13</f>
        <v>1.2480706007442839</v>
      </c>
      <c r="C12" s="8">
        <f>'Shapley Decomposition'!AA13</f>
        <v>2.5579702313228321</v>
      </c>
      <c r="D12" s="8">
        <f>'Shapley Decomposition'!Z13</f>
        <v>-1.3374879808850197</v>
      </c>
      <c r="E12" s="8">
        <f>'Shapley Decomposition'!U13</f>
        <v>2.7588350306471554E-2</v>
      </c>
      <c r="F12" s="8">
        <f t="shared" si="0"/>
        <v>1.2480706007442839</v>
      </c>
    </row>
    <row r="13" spans="1:6" x14ac:dyDescent="0.3">
      <c r="A13">
        <v>2012</v>
      </c>
      <c r="B13" s="8">
        <f>'Shapley Decomposition'!T14</f>
        <v>0.73982508211167364</v>
      </c>
      <c r="C13" s="8">
        <f>'Shapley Decomposition'!AA14</f>
        <v>6.4898344266665609</v>
      </c>
      <c r="D13" s="8">
        <f>'Shapley Decomposition'!Z14</f>
        <v>-5.688052129980691</v>
      </c>
      <c r="E13" s="8">
        <f>'Shapley Decomposition'!U14</f>
        <v>-6.1957214574196229E-2</v>
      </c>
      <c r="F13" s="8">
        <f t="shared" si="0"/>
        <v>0.73982508211167364</v>
      </c>
    </row>
    <row r="14" spans="1:6" x14ac:dyDescent="0.3">
      <c r="A14">
        <v>2013</v>
      </c>
      <c r="B14" s="8">
        <f>'Shapley Decomposition'!T15</f>
        <v>-3.5690751626937063</v>
      </c>
      <c r="C14" s="8">
        <f>'Shapley Decomposition'!AA15</f>
        <v>-8.8846626131292243</v>
      </c>
      <c r="D14" s="8">
        <f>'Shapley Decomposition'!Z15</f>
        <v>5.5411108835689777</v>
      </c>
      <c r="E14" s="8">
        <f>'Shapley Decomposition'!U15</f>
        <v>-0.22552343313345968</v>
      </c>
      <c r="F14" s="8">
        <f t="shared" si="0"/>
        <v>-3.5690751626937063</v>
      </c>
    </row>
    <row r="15" spans="1:6" x14ac:dyDescent="0.3">
      <c r="A15">
        <v>2014</v>
      </c>
      <c r="B15" s="8">
        <f>'Shapley Decomposition'!T16</f>
        <v>-1.1859217102812627</v>
      </c>
      <c r="C15" s="8">
        <f>'Shapley Decomposition'!AA16</f>
        <v>-1.500813480549728</v>
      </c>
      <c r="D15" s="8">
        <f>'Shapley Decomposition'!Z16</f>
        <v>4.6665391764424413E-3</v>
      </c>
      <c r="E15" s="8">
        <f>'Shapley Decomposition'!U16</f>
        <v>0.31022523109202282</v>
      </c>
      <c r="F15" s="8">
        <f t="shared" si="0"/>
        <v>-1.1859217102812627</v>
      </c>
    </row>
    <row r="16" spans="1:6" x14ac:dyDescent="0.3">
      <c r="A16">
        <v>2015</v>
      </c>
      <c r="B16" s="8">
        <f>'Shapley Decomposition'!T17</f>
        <v>-0.21541440645144405</v>
      </c>
      <c r="C16" s="8">
        <f>'Shapley Decomposition'!AA17</f>
        <v>2.5116695618560225E-2</v>
      </c>
      <c r="D16" s="8">
        <f>'Shapley Decomposition'!Z17</f>
        <v>-0.17607866835514008</v>
      </c>
      <c r="E16" s="8">
        <f>'Shapley Decomposition'!U17</f>
        <v>-6.4452433714864199E-2</v>
      </c>
      <c r="F16" s="8">
        <f t="shared" si="0"/>
        <v>-0.21541440645144405</v>
      </c>
    </row>
    <row r="17" spans="1:6" x14ac:dyDescent="0.3">
      <c r="A17">
        <v>2016</v>
      </c>
      <c r="B17" s="8">
        <f>'Shapley Decomposition'!T18</f>
        <v>-0.35296492663794776</v>
      </c>
      <c r="C17" s="8">
        <f>'Shapley Decomposition'!AA18</f>
        <v>-1.59147678093018</v>
      </c>
      <c r="D17" s="8">
        <f>'Shapley Decomposition'!Z18</f>
        <v>0.98874491958893773</v>
      </c>
      <c r="E17" s="8">
        <f>'Shapley Decomposition'!U18</f>
        <v>0.24976693470329447</v>
      </c>
      <c r="F17" s="8">
        <f t="shared" si="0"/>
        <v>-0.35296492663794776</v>
      </c>
    </row>
    <row r="18" spans="1:6" x14ac:dyDescent="0.3">
      <c r="A18">
        <v>2017</v>
      </c>
      <c r="B18" s="8">
        <f>'Shapley Decomposition'!T19</f>
        <v>-3.869234312839076E-2</v>
      </c>
      <c r="C18" s="8">
        <f>'Shapley Decomposition'!AA19</f>
        <v>-7.2350707904274003E-3</v>
      </c>
      <c r="D18" s="8">
        <f>'Shapley Decomposition'!Z19</f>
        <v>0.13465238055410289</v>
      </c>
      <c r="E18" s="8">
        <f>'Shapley Decomposition'!U19</f>
        <v>-0.16610965289206625</v>
      </c>
      <c r="F18" s="8">
        <f t="shared" si="0"/>
        <v>-3.869234312839076E-2</v>
      </c>
    </row>
    <row r="19" spans="1:6" x14ac:dyDescent="0.3">
      <c r="A19">
        <v>2018</v>
      </c>
      <c r="B19" s="8">
        <f>'Shapley Decomposition'!T20</f>
        <v>0.2682516542155815</v>
      </c>
      <c r="C19" s="8">
        <f>'Shapley Decomposition'!AA20</f>
        <v>0.48252791473864676</v>
      </c>
      <c r="D19" s="8">
        <f>'Shapley Decomposition'!Z20</f>
        <v>-0.49494055945526316</v>
      </c>
      <c r="E19" s="8">
        <f>'Shapley Decomposition'!U20</f>
        <v>0.28066429893219791</v>
      </c>
      <c r="F19" s="8">
        <f t="shared" si="0"/>
        <v>0.2682516542155815</v>
      </c>
    </row>
    <row r="20" spans="1:6" x14ac:dyDescent="0.3">
      <c r="A20">
        <v>2019</v>
      </c>
      <c r="B20" s="8">
        <f>'Shapley Decomposition'!T21</f>
        <v>-0.15325950413223044</v>
      </c>
      <c r="C20" s="8">
        <f>'Shapley Decomposition'!AA21</f>
        <v>0.54367078995867324</v>
      </c>
      <c r="D20" s="8">
        <f>'Shapley Decomposition'!Z21</f>
        <v>-0.46945725413839767</v>
      </c>
      <c r="E20" s="8">
        <f>'Shapley Decomposition'!U21</f>
        <v>-0.22747303995250601</v>
      </c>
      <c r="F20" s="8">
        <f t="shared" si="0"/>
        <v>-0.15325950413223044</v>
      </c>
    </row>
    <row r="21" spans="1:6" x14ac:dyDescent="0.3">
      <c r="A21">
        <v>2020</v>
      </c>
      <c r="B21" s="8">
        <f>'Shapley Decomposition'!T22</f>
        <v>1.0679495041322316</v>
      </c>
      <c r="C21" s="8">
        <f>'Shapley Decomposition'!AA22</f>
        <v>-7.8180820336182677E-2</v>
      </c>
      <c r="D21" s="8">
        <f>'Shapley Decomposition'!Z22</f>
        <v>1.8889734627972619</v>
      </c>
      <c r="E21" s="8">
        <f>'Shapley Decomposition'!U22</f>
        <v>-0.74284313832884763</v>
      </c>
      <c r="F21" s="8">
        <f t="shared" si="0"/>
        <v>1.0679495041322316</v>
      </c>
    </row>
    <row r="22" spans="1:6" x14ac:dyDescent="0.3">
      <c r="A22">
        <v>2021</v>
      </c>
      <c r="B22" s="8">
        <f>'Shapley Decomposition'!T23</f>
        <v>1.566684566473989</v>
      </c>
      <c r="C22" s="8">
        <f>'Shapley Decomposition'!AA23</f>
        <v>0.28486010598728173</v>
      </c>
      <c r="D22" s="8">
        <f>'Shapley Decomposition'!Z23</f>
        <v>0.64343411246663651</v>
      </c>
      <c r="E22" s="8">
        <f>'Shapley Decomposition'!U23</f>
        <v>0.63839034802007077</v>
      </c>
      <c r="F22" s="8">
        <f t="shared" si="0"/>
        <v>1.566684566473989</v>
      </c>
    </row>
    <row r="23" spans="1:6" x14ac:dyDescent="0.3">
      <c r="A23">
        <v>2022</v>
      </c>
      <c r="B23" s="8">
        <f>'Shapley Decomposition'!T24</f>
        <v>-4.1878257159402743E-2</v>
      </c>
      <c r="C23" s="8">
        <f>'Shapley Decomposition'!AA24</f>
        <v>2.4278693669175113</v>
      </c>
      <c r="D23" s="8">
        <f>'Shapley Decomposition'!Z24</f>
        <v>-2.6481600207519143</v>
      </c>
      <c r="E23" s="8">
        <f>'Shapley Decomposition'!U24</f>
        <v>0.1784123966750002</v>
      </c>
      <c r="F23" s="8">
        <f t="shared" si="0"/>
        <v>-4.1878257159402743E-2</v>
      </c>
    </row>
    <row r="24" spans="1:6" x14ac:dyDescent="0.3">
      <c r="A24">
        <v>2023</v>
      </c>
      <c r="B24" s="8">
        <f>'Shapley Decomposition'!T25</f>
        <v>-2.4578430647222413</v>
      </c>
      <c r="C24" s="8">
        <f>'Shapley Decomposition'!AA25</f>
        <v>-2.9257785545807127</v>
      </c>
      <c r="D24" s="8">
        <f>'Shapley Decomposition'!Z25</f>
        <v>0.87840945405660298</v>
      </c>
      <c r="E24" s="8">
        <f>'Shapley Decomposition'!U25</f>
        <v>-0.41047396419813165</v>
      </c>
      <c r="F24" s="8">
        <f t="shared" si="0"/>
        <v>-2.4578430647222413</v>
      </c>
    </row>
    <row r="25" spans="1:6" x14ac:dyDescent="0.3">
      <c r="A25">
        <v>2024</v>
      </c>
      <c r="B25" s="8">
        <f>'Shapley Decomposition'!T26</f>
        <v>-0.42025422099592546</v>
      </c>
      <c r="C25" s="8">
        <f>'Shapley Decomposition'!AA26</f>
        <v>-8.0992289671257378E-2</v>
      </c>
      <c r="D25" s="8">
        <f>'Shapley Decomposition'!Z26</f>
        <v>6.8160062829256685E-2</v>
      </c>
      <c r="E25" s="8">
        <f>'Shapley Decomposition'!U26</f>
        <v>-0.40742199415392477</v>
      </c>
      <c r="F25" s="8">
        <f t="shared" si="0"/>
        <v>-0.42025422099592546</v>
      </c>
    </row>
    <row r="26" spans="1:6" x14ac:dyDescent="0.3">
      <c r="A26">
        <v>2025</v>
      </c>
      <c r="B26" s="8">
        <f>'Shapley Decomposition'!T27</f>
        <v>-0.32279902359642065</v>
      </c>
      <c r="C26" s="8">
        <f>'Shapley Decomposition'!AA27</f>
        <v>-1.6052422431991098</v>
      </c>
      <c r="D26" s="8">
        <f>'Shapley Decomposition'!Z27</f>
        <v>1.0538234350621898</v>
      </c>
      <c r="E26" s="8">
        <f>'Shapley Decomposition'!U27</f>
        <v>0.22861978454049936</v>
      </c>
      <c r="F26" s="8">
        <f t="shared" si="0"/>
        <v>-0.32279902359642065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C7A1-5AB4-407A-BA98-86039960A2A0}">
  <dimension ref="A1:D26"/>
  <sheetViews>
    <sheetView workbookViewId="0">
      <selection activeCell="D2" sqref="D2"/>
    </sheetView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</cols>
  <sheetData>
    <row r="1" spans="1:4" x14ac:dyDescent="0.3">
      <c r="A1" t="s">
        <v>0</v>
      </c>
      <c r="B1" t="s">
        <v>42</v>
      </c>
      <c r="C1" t="s">
        <v>43</v>
      </c>
      <c r="D1" t="s">
        <v>44</v>
      </c>
    </row>
    <row r="2" spans="1:4" x14ac:dyDescent="0.3">
      <c r="A2">
        <v>2001</v>
      </c>
      <c r="B2" s="8">
        <f>'Shapley Decomposition'!T3</f>
        <v>0.11810711790467465</v>
      </c>
      <c r="C2" s="8">
        <f>'Shapley Decomposition'!AD3</f>
        <v>8.1072142761747623E-2</v>
      </c>
      <c r="D2" s="8">
        <f>'Shapley Decomposition'!AC3</f>
        <v>3.7034975142927029E-2</v>
      </c>
    </row>
    <row r="3" spans="1:4" x14ac:dyDescent="0.3">
      <c r="A3">
        <v>2002</v>
      </c>
      <c r="B3" s="8">
        <f>'Shapley Decomposition'!T4</f>
        <v>0.59283462268281939</v>
      </c>
      <c r="C3" s="8">
        <f>'Shapley Decomposition'!AD4</f>
        <v>1.0270971526718824</v>
      </c>
      <c r="D3" s="8">
        <f>'Shapley Decomposition'!AC4</f>
        <v>-0.43426252998906306</v>
      </c>
    </row>
    <row r="4" spans="1:4" x14ac:dyDescent="0.3">
      <c r="A4">
        <v>2003</v>
      </c>
      <c r="B4" s="8">
        <f>'Shapley Decomposition'!T5</f>
        <v>9.4410973797540265E-2</v>
      </c>
      <c r="C4" s="8">
        <f>'Shapley Decomposition'!AD5</f>
        <v>-1.1438167616066472</v>
      </c>
      <c r="D4" s="8">
        <f>'Shapley Decomposition'!AC5</f>
        <v>1.2382277354041875</v>
      </c>
    </row>
    <row r="5" spans="1:4" x14ac:dyDescent="0.3">
      <c r="A5">
        <v>2004</v>
      </c>
      <c r="B5" s="8">
        <f>'Shapley Decomposition'!T6</f>
        <v>-0.79156602658788655</v>
      </c>
      <c r="C5" s="8">
        <f>'Shapley Decomposition'!AD6</f>
        <v>-1.14235263248051</v>
      </c>
      <c r="D5" s="8">
        <f>'Shapley Decomposition'!AC6</f>
        <v>0.35078660589262362</v>
      </c>
    </row>
    <row r="6" spans="1:4" x14ac:dyDescent="0.3">
      <c r="A6">
        <v>2005</v>
      </c>
      <c r="B6" s="8">
        <f>'Shapley Decomposition'!T7</f>
        <v>-0.19228145048814538</v>
      </c>
      <c r="C6" s="8">
        <f>'Shapley Decomposition'!AD7</f>
        <v>-0.50343869990601453</v>
      </c>
      <c r="D6" s="8">
        <f>'Shapley Decomposition'!AC7</f>
        <v>0.31115724941786915</v>
      </c>
    </row>
    <row r="7" spans="1:4" x14ac:dyDescent="0.3">
      <c r="A7">
        <v>2006</v>
      </c>
      <c r="B7" s="8">
        <f>'Shapley Decomposition'!T8</f>
        <v>1.6944182352292891</v>
      </c>
      <c r="C7" s="8">
        <f>'Shapley Decomposition'!AD8</f>
        <v>1.3794704096849197</v>
      </c>
      <c r="D7" s="8">
        <f>'Shapley Decomposition'!AC8</f>
        <v>0.3149478255443694</v>
      </c>
    </row>
    <row r="8" spans="1:4" x14ac:dyDescent="0.3">
      <c r="A8">
        <v>2007</v>
      </c>
      <c r="B8" s="8">
        <f>'Shapley Decomposition'!T9</f>
        <v>1.7077109216808752</v>
      </c>
      <c r="C8" s="8">
        <f>'Shapley Decomposition'!AD9</f>
        <v>-2.9255784167605436</v>
      </c>
      <c r="D8" s="8">
        <f>'Shapley Decomposition'!AC9</f>
        <v>4.6332893384414193</v>
      </c>
    </row>
    <row r="9" spans="1:4" x14ac:dyDescent="0.3">
      <c r="A9">
        <v>2008</v>
      </c>
      <c r="B9" s="8">
        <f>'Shapley Decomposition'!T10</f>
        <v>-0.56990939796430951</v>
      </c>
      <c r="C9" s="8">
        <f>'Shapley Decomposition'!AD10</f>
        <v>0.91312931236067341</v>
      </c>
      <c r="D9" s="8">
        <f>'Shapley Decomposition'!AC10</f>
        <v>-1.4830387103249829</v>
      </c>
    </row>
    <row r="10" spans="1:4" x14ac:dyDescent="0.3">
      <c r="A10" s="6">
        <v>2009</v>
      </c>
      <c r="B10" s="8">
        <f>'Shapley Decomposition'!T11</f>
        <v>-0.89614172726112873</v>
      </c>
      <c r="C10" s="8">
        <f>'Shapley Decomposition'!AD11</f>
        <v>-2.0041136718579784</v>
      </c>
      <c r="D10" s="8">
        <f>'Shapley Decomposition'!AC11</f>
        <v>1.1079719445968499</v>
      </c>
    </row>
    <row r="11" spans="1:4" x14ac:dyDescent="0.3">
      <c r="A11">
        <v>2010</v>
      </c>
      <c r="B11" s="8">
        <f>'Shapley Decomposition'!T12</f>
        <v>2.4361246309246312</v>
      </c>
      <c r="C11" s="8">
        <f>'Shapley Decomposition'!AD12</f>
        <v>1.797814865573466</v>
      </c>
      <c r="D11" s="8">
        <f>'Shapley Decomposition'!AC12</f>
        <v>0.63830976535116501</v>
      </c>
    </row>
    <row r="12" spans="1:4" x14ac:dyDescent="0.3">
      <c r="A12">
        <v>2011</v>
      </c>
      <c r="B12" s="8">
        <f>'Shapley Decomposition'!T13</f>
        <v>1.2480706007442839</v>
      </c>
      <c r="C12" s="8">
        <f>'Shapley Decomposition'!AD13</f>
        <v>2.5760862461716378</v>
      </c>
      <c r="D12" s="8">
        <f>'Shapley Decomposition'!AC13</f>
        <v>-1.3280156454273542</v>
      </c>
    </row>
    <row r="13" spans="1:4" x14ac:dyDescent="0.3">
      <c r="A13">
        <v>2012</v>
      </c>
      <c r="B13" s="8">
        <f>'Shapley Decomposition'!T14</f>
        <v>0.73982508211167364</v>
      </c>
      <c r="C13" s="8">
        <f>'Shapley Decomposition'!AD14</f>
        <v>6.4568162126888238</v>
      </c>
      <c r="D13" s="8">
        <f>'Shapley Decomposition'!AC14</f>
        <v>-5.7169911305771501</v>
      </c>
    </row>
    <row r="14" spans="1:4" x14ac:dyDescent="0.3">
      <c r="A14">
        <v>2013</v>
      </c>
      <c r="B14" s="8">
        <f>'Shapley Decomposition'!T15</f>
        <v>-3.5690751626937063</v>
      </c>
      <c r="C14" s="8">
        <f>'Shapley Decomposition'!AD15</f>
        <v>-9.0235598178582475</v>
      </c>
      <c r="D14" s="8">
        <f>'Shapley Decomposition'!AC15</f>
        <v>5.4544846551645403</v>
      </c>
    </row>
    <row r="15" spans="1:4" x14ac:dyDescent="0.3">
      <c r="A15">
        <v>2014</v>
      </c>
      <c r="B15" s="8">
        <f>'Shapley Decomposition'!T16</f>
        <v>-1.1859217102812627</v>
      </c>
      <c r="C15" s="8">
        <f>'Shapley Decomposition'!AD16</f>
        <v>-1.1915498551751129</v>
      </c>
      <c r="D15" s="8">
        <f>'Shapley Decomposition'!AC16</f>
        <v>5.628144893850202E-3</v>
      </c>
    </row>
    <row r="16" spans="1:4" x14ac:dyDescent="0.3">
      <c r="A16">
        <v>2015</v>
      </c>
      <c r="B16" s="8">
        <f>'Shapley Decomposition'!T17</f>
        <v>-0.21541440645144405</v>
      </c>
      <c r="C16" s="8">
        <f>'Shapley Decomposition'!AD17</f>
        <v>1.7070624737407704E-2</v>
      </c>
      <c r="D16" s="8">
        <f>'Shapley Decomposition'!AC17</f>
        <v>-0.23248503118885175</v>
      </c>
    </row>
    <row r="17" spans="1:4" x14ac:dyDescent="0.3">
      <c r="A17">
        <v>2016</v>
      </c>
      <c r="B17" s="8">
        <f>'Shapley Decomposition'!T18</f>
        <v>-0.35296492663794776</v>
      </c>
      <c r="C17" s="8">
        <f>'Shapley Decomposition'!AD18</f>
        <v>-1.4374209193178138</v>
      </c>
      <c r="D17" s="8">
        <f>'Shapley Decomposition'!AC18</f>
        <v>1.084455992679866</v>
      </c>
    </row>
    <row r="18" spans="1:4" x14ac:dyDescent="0.3">
      <c r="A18">
        <v>2017</v>
      </c>
      <c r="B18" s="8">
        <f>'Shapley Decomposition'!T19</f>
        <v>-3.869234312839076E-2</v>
      </c>
      <c r="C18" s="8">
        <f>'Shapley Decomposition'!AD19</f>
        <v>-1.5705270841658021E-2</v>
      </c>
      <c r="D18" s="8">
        <f>'Shapley Decomposition'!AC19</f>
        <v>-2.2987072286732718E-2</v>
      </c>
    </row>
    <row r="19" spans="1:4" x14ac:dyDescent="0.3">
      <c r="A19">
        <v>2018</v>
      </c>
      <c r="B19" s="8">
        <f>'Shapley Decomposition'!T20</f>
        <v>0.2682516542155815</v>
      </c>
      <c r="C19" s="8">
        <f>'Shapley Decomposition'!AD20</f>
        <v>0.62107801889113268</v>
      </c>
      <c r="D19" s="8">
        <f>'Shapley Decomposition'!AC20</f>
        <v>-0.35282636467555112</v>
      </c>
    </row>
    <row r="20" spans="1:4" x14ac:dyDescent="0.3">
      <c r="A20">
        <v>2019</v>
      </c>
      <c r="B20" s="8">
        <f>'Shapley Decomposition'!T21</f>
        <v>-0.15325950413223044</v>
      </c>
      <c r="C20" s="8">
        <f>'Shapley Decomposition'!AD21</f>
        <v>0.42160285585514296</v>
      </c>
      <c r="D20" s="8">
        <f>'Shapley Decomposition'!AC21</f>
        <v>-0.57486235998737345</v>
      </c>
    </row>
    <row r="21" spans="1:4" x14ac:dyDescent="0.3">
      <c r="A21">
        <v>2020</v>
      </c>
      <c r="B21" s="8">
        <f>'Shapley Decomposition'!T22</f>
        <v>1.0679495041322316</v>
      </c>
      <c r="C21" s="8">
        <f>'Shapley Decomposition'!AD22</f>
        <v>-0.10770371360063237</v>
      </c>
      <c r="D21" s="8">
        <f>'Shapley Decomposition'!AC22</f>
        <v>1.1756532177328638</v>
      </c>
    </row>
    <row r="22" spans="1:4" x14ac:dyDescent="0.3">
      <c r="A22">
        <v>2021</v>
      </c>
      <c r="B22" s="8">
        <f>'Shapley Decomposition'!T23</f>
        <v>1.566684566473989</v>
      </c>
      <c r="C22" s="8">
        <f>'Shapley Decomposition'!AD23</f>
        <v>0.48075914164122657</v>
      </c>
      <c r="D22" s="8">
        <f>'Shapley Decomposition'!AC23</f>
        <v>1.0859254248327623</v>
      </c>
    </row>
    <row r="23" spans="1:4" x14ac:dyDescent="0.3">
      <c r="A23">
        <v>2022</v>
      </c>
      <c r="B23" s="8">
        <f>'Shapley Decomposition'!T24</f>
        <v>-4.1878257159402743E-2</v>
      </c>
      <c r="C23" s="8">
        <f>'Shapley Decomposition'!AD24</f>
        <v>2.5132041747926972</v>
      </c>
      <c r="D23" s="8">
        <f>'Shapley Decomposition'!AC24</f>
        <v>-2.5550824319520999</v>
      </c>
    </row>
    <row r="24" spans="1:4" x14ac:dyDescent="0.3">
      <c r="A24">
        <v>2023</v>
      </c>
      <c r="B24" s="8">
        <f>'Shapley Decomposition'!T25</f>
        <v>-2.4578430647222413</v>
      </c>
      <c r="C24" s="8">
        <f>'Shapley Decomposition'!AD25</f>
        <v>-3.2414716588483996</v>
      </c>
      <c r="D24" s="8">
        <f>'Shapley Decomposition'!AC25</f>
        <v>0.78362859412615837</v>
      </c>
    </row>
    <row r="25" spans="1:4" x14ac:dyDescent="0.3">
      <c r="A25">
        <v>2024</v>
      </c>
      <c r="B25" s="8">
        <f>'Shapley Decomposition'!T26</f>
        <v>-0.42025422099592546</v>
      </c>
      <c r="C25" s="8">
        <f>'Shapley Decomposition'!AD26</f>
        <v>-0.30222943153157278</v>
      </c>
      <c r="D25" s="8">
        <f>'Shapley Decomposition'!AC26</f>
        <v>-0.11802478946435266</v>
      </c>
    </row>
    <row r="26" spans="1:4" x14ac:dyDescent="0.3">
      <c r="A26">
        <v>2025</v>
      </c>
      <c r="B26" s="8">
        <f>'Shapley Decomposition'!T27</f>
        <v>-0.32279902359642065</v>
      </c>
      <c r="C26" s="8">
        <f>'Shapley Decomposition'!AD27</f>
        <v>-1.467227549250123</v>
      </c>
      <c r="D26" s="8">
        <f>'Shapley Decomposition'!AC27</f>
        <v>1.1444285256537023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 method --- not used</vt:lpstr>
      <vt:lpstr>Shapley Decomposition</vt:lpstr>
      <vt:lpstr>decomp w z-scores</vt:lpstr>
      <vt:lpstr>chart1</vt:lpstr>
      <vt:lpstr>chart1 w demand</vt:lpstr>
      <vt:lpstr>stacked</vt:lpstr>
    </vt:vector>
  </TitlesOfParts>
  <Company>Murray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Young</dc:creator>
  <cp:lastModifiedBy>Jeffrey Young</cp:lastModifiedBy>
  <dcterms:created xsi:type="dcterms:W3CDTF">2026-03-03T16:06:28Z</dcterms:created>
  <dcterms:modified xsi:type="dcterms:W3CDTF">2026-03-10T19:39:39Z</dcterms:modified>
</cp:coreProperties>
</file>