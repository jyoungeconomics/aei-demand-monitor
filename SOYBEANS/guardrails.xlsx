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Corn Demand\from David\New folder\cleaned\"/>
    </mc:Choice>
  </mc:AlternateContent>
  <xr:revisionPtr revIDLastSave="0" documentId="13_ncr:1_{550305C4-AB80-43DE-BB0E-47D5E818275C}" xr6:coauthVersionLast="47" xr6:coauthVersionMax="47" xr10:uidLastSave="{00000000-0000-0000-0000-000000000000}"/>
  <bookViews>
    <workbookView xWindow="-98" yWindow="-98" windowWidth="21795" windowHeight="12975" activeTab="3" xr2:uid="{BF5E511F-153E-48DA-9994-BA36C0F1CF79}"/>
  </bookViews>
  <sheets>
    <sheet name="Shapley Decomposition" sheetId="1" r:id="rId1"/>
    <sheet name="chart1" sheetId="3" r:id="rId2"/>
    <sheet name="confidence elipse DISASTER" sheetId="7" r:id="rId3"/>
    <sheet name="guardrail data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3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3" i="8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" i="7"/>
  <c r="C34" i="7"/>
  <c r="C33" i="7"/>
  <c r="C32" i="7"/>
  <c r="C31" i="7"/>
  <c r="C30" i="7"/>
  <c r="D29" i="7"/>
  <c r="C29" i="7"/>
  <c r="C28" i="7"/>
  <c r="D28" i="7"/>
  <c r="P27" i="1" l="1"/>
  <c r="O27" i="1"/>
  <c r="H27" i="1"/>
  <c r="P26" i="1"/>
  <c r="O26" i="1"/>
  <c r="H26" i="1"/>
  <c r="P25" i="1"/>
  <c r="O25" i="1"/>
  <c r="H25" i="1"/>
  <c r="I25" i="1" s="1"/>
  <c r="J25" i="1" s="1"/>
  <c r="K25" i="1" s="1"/>
  <c r="P24" i="1"/>
  <c r="O24" i="1"/>
  <c r="H24" i="1"/>
  <c r="I24" i="1" s="1"/>
  <c r="J24" i="1" s="1"/>
  <c r="K24" i="1" s="1"/>
  <c r="P23" i="1"/>
  <c r="O23" i="1"/>
  <c r="H23" i="1"/>
  <c r="P22" i="1"/>
  <c r="O22" i="1"/>
  <c r="H22" i="1"/>
  <c r="I22" i="1" s="1"/>
  <c r="J22" i="1" s="1"/>
  <c r="K22" i="1" s="1"/>
  <c r="P21" i="1"/>
  <c r="O21" i="1"/>
  <c r="H21" i="1"/>
  <c r="I21" i="1" s="1"/>
  <c r="J21" i="1" s="1"/>
  <c r="K21" i="1" s="1"/>
  <c r="P20" i="1"/>
  <c r="O20" i="1"/>
  <c r="H20" i="1"/>
  <c r="I20" i="1" s="1"/>
  <c r="J20" i="1" s="1"/>
  <c r="K20" i="1" s="1"/>
  <c r="P19" i="1"/>
  <c r="O19" i="1"/>
  <c r="H19" i="1"/>
  <c r="P18" i="1"/>
  <c r="O18" i="1"/>
  <c r="H18" i="1"/>
  <c r="P17" i="1"/>
  <c r="O17" i="1"/>
  <c r="H17" i="1"/>
  <c r="P16" i="1"/>
  <c r="O16" i="1"/>
  <c r="H16" i="1"/>
  <c r="I16" i="1" s="1"/>
  <c r="J16" i="1" s="1"/>
  <c r="K16" i="1" s="1"/>
  <c r="P15" i="1"/>
  <c r="O15" i="1"/>
  <c r="H15" i="1"/>
  <c r="I15" i="1" s="1"/>
  <c r="J15" i="1" s="1"/>
  <c r="K15" i="1" s="1"/>
  <c r="P14" i="1"/>
  <c r="O14" i="1"/>
  <c r="H14" i="1"/>
  <c r="I14" i="1" s="1"/>
  <c r="J14" i="1" s="1"/>
  <c r="K14" i="1" s="1"/>
  <c r="P13" i="1"/>
  <c r="O13" i="1"/>
  <c r="H13" i="1"/>
  <c r="P12" i="1"/>
  <c r="O12" i="1"/>
  <c r="H12" i="1"/>
  <c r="I12" i="1" s="1"/>
  <c r="J12" i="1" s="1"/>
  <c r="K12" i="1" s="1"/>
  <c r="P11" i="1"/>
  <c r="O11" i="1"/>
  <c r="H11" i="1"/>
  <c r="P10" i="1"/>
  <c r="O10" i="1"/>
  <c r="H10" i="1"/>
  <c r="P9" i="1"/>
  <c r="O9" i="1"/>
  <c r="H9" i="1"/>
  <c r="I9" i="1" s="1"/>
  <c r="J9" i="1" s="1"/>
  <c r="K9" i="1" s="1"/>
  <c r="P8" i="1"/>
  <c r="O8" i="1"/>
  <c r="H8" i="1"/>
  <c r="I8" i="1" s="1"/>
  <c r="J8" i="1" s="1"/>
  <c r="K8" i="1" s="1"/>
  <c r="P7" i="1"/>
  <c r="O7" i="1"/>
  <c r="H7" i="1"/>
  <c r="I7" i="1" s="1"/>
  <c r="J7" i="1" s="1"/>
  <c r="K7" i="1" s="1"/>
  <c r="P6" i="1"/>
  <c r="O6" i="1"/>
  <c r="H6" i="1"/>
  <c r="P5" i="1"/>
  <c r="O5" i="1"/>
  <c r="H5" i="1"/>
  <c r="I5" i="1" s="1"/>
  <c r="J5" i="1" s="1"/>
  <c r="K5" i="1" s="1"/>
  <c r="P4" i="1"/>
  <c r="O4" i="1"/>
  <c r="H4" i="1"/>
  <c r="I4" i="1" s="1"/>
  <c r="J4" i="1" s="1"/>
  <c r="K4" i="1" s="1"/>
  <c r="P3" i="1"/>
  <c r="O3" i="1"/>
  <c r="H3" i="1"/>
  <c r="I3" i="1" s="1"/>
  <c r="J3" i="1" s="1"/>
  <c r="K3" i="1" s="1"/>
  <c r="P2" i="1"/>
  <c r="O2" i="1"/>
  <c r="H2" i="1"/>
  <c r="I2" i="1" s="1"/>
  <c r="J2" i="1" s="1"/>
  <c r="K2" i="1" s="1"/>
  <c r="F2" i="1"/>
  <c r="W26" i="1" s="1"/>
  <c r="L4" i="1" l="1"/>
  <c r="T27" i="1"/>
  <c r="Q22" i="1"/>
  <c r="T20" i="1"/>
  <c r="Q10" i="1"/>
  <c r="T13" i="1"/>
  <c r="V14" i="1"/>
  <c r="W18" i="1"/>
  <c r="W22" i="1"/>
  <c r="Q6" i="1"/>
  <c r="V10" i="1"/>
  <c r="W14" i="1"/>
  <c r="T4" i="1"/>
  <c r="T12" i="1"/>
  <c r="L15" i="1"/>
  <c r="V25" i="1"/>
  <c r="L5" i="1"/>
  <c r="Q13" i="1"/>
  <c r="Q17" i="1"/>
  <c r="T21" i="1"/>
  <c r="W25" i="1"/>
  <c r="L3" i="1"/>
  <c r="Q9" i="1"/>
  <c r="V13" i="1"/>
  <c r="V17" i="1"/>
  <c r="L22" i="1"/>
  <c r="L24" i="1"/>
  <c r="T26" i="1"/>
  <c r="L14" i="1"/>
  <c r="L20" i="1"/>
  <c r="W7" i="1"/>
  <c r="L16" i="1"/>
  <c r="L8" i="1"/>
  <c r="W3" i="1"/>
  <c r="V12" i="1"/>
  <c r="L2" i="1"/>
  <c r="W21" i="1"/>
  <c r="T8" i="1"/>
  <c r="I13" i="1"/>
  <c r="J13" i="1" s="1"/>
  <c r="K13" i="1" s="1"/>
  <c r="L13" i="1" s="1"/>
  <c r="W5" i="1"/>
  <c r="V8" i="1"/>
  <c r="T10" i="1"/>
  <c r="T17" i="1"/>
  <c r="T19" i="1"/>
  <c r="V20" i="1"/>
  <c r="Q23" i="1"/>
  <c r="Q26" i="1"/>
  <c r="W6" i="1"/>
  <c r="T9" i="1"/>
  <c r="W13" i="1"/>
  <c r="W17" i="1"/>
  <c r="I19" i="1"/>
  <c r="J19" i="1" s="1"/>
  <c r="K19" i="1" s="1"/>
  <c r="L19" i="1" s="1"/>
  <c r="L7" i="1"/>
  <c r="T16" i="1"/>
  <c r="W27" i="1"/>
  <c r="Q5" i="1"/>
  <c r="V16" i="1"/>
  <c r="L25" i="1"/>
  <c r="Q7" i="1"/>
  <c r="L9" i="1"/>
  <c r="Q11" i="1"/>
  <c r="T15" i="1"/>
  <c r="Q18" i="1"/>
  <c r="W19" i="1"/>
  <c r="L21" i="1"/>
  <c r="V26" i="1"/>
  <c r="W10" i="1"/>
  <c r="V21" i="1"/>
  <c r="V9" i="1"/>
  <c r="V24" i="1"/>
  <c r="W9" i="1"/>
  <c r="T7" i="1"/>
  <c r="L12" i="1"/>
  <c r="Q14" i="1"/>
  <c r="W15" i="1"/>
  <c r="V18" i="1"/>
  <c r="T25" i="1"/>
  <c r="I17" i="1"/>
  <c r="J17" i="1" s="1"/>
  <c r="K17" i="1" s="1"/>
  <c r="L17" i="1" s="1"/>
  <c r="T24" i="1"/>
  <c r="T23" i="1"/>
  <c r="I23" i="1"/>
  <c r="J23" i="1" s="1"/>
  <c r="K23" i="1" s="1"/>
  <c r="L23" i="1" s="1"/>
  <c r="I11" i="1"/>
  <c r="T11" i="1"/>
  <c r="T3" i="1"/>
  <c r="I26" i="1"/>
  <c r="J26" i="1" s="1"/>
  <c r="K26" i="1" s="1"/>
  <c r="L26" i="1" s="1"/>
  <c r="T6" i="1"/>
  <c r="I6" i="1"/>
  <c r="J6" i="1" s="1"/>
  <c r="K6" i="1" s="1"/>
  <c r="L6" i="1" s="1"/>
  <c r="I10" i="1"/>
  <c r="J10" i="1" s="1"/>
  <c r="K10" i="1" s="1"/>
  <c r="L10" i="1" s="1"/>
  <c r="T18" i="1"/>
  <c r="I27" i="1"/>
  <c r="J27" i="1" s="1"/>
  <c r="K27" i="1" s="1"/>
  <c r="L27" i="1" s="1"/>
  <c r="I18" i="1"/>
  <c r="J18" i="1" s="1"/>
  <c r="K18" i="1" s="1"/>
  <c r="L18" i="1" s="1"/>
  <c r="T5" i="1"/>
  <c r="Q24" i="1"/>
  <c r="Q20" i="1"/>
  <c r="Q16" i="1"/>
  <c r="Q12" i="1"/>
  <c r="Q8" i="1"/>
  <c r="Q4" i="1"/>
  <c r="Q25" i="1"/>
  <c r="Q21" i="1"/>
  <c r="V27" i="1"/>
  <c r="W24" i="1"/>
  <c r="V23" i="1"/>
  <c r="W20" i="1"/>
  <c r="V19" i="1"/>
  <c r="W16" i="1"/>
  <c r="V15" i="1"/>
  <c r="W12" i="1"/>
  <c r="V11" i="1"/>
  <c r="W8" i="1"/>
  <c r="V7" i="1"/>
  <c r="W4" i="1"/>
  <c r="V3" i="1"/>
  <c r="Q2" i="1"/>
  <c r="Q3" i="1"/>
  <c r="V4" i="1"/>
  <c r="V5" i="1"/>
  <c r="V6" i="1"/>
  <c r="W11" i="1"/>
  <c r="T14" i="1"/>
  <c r="Q15" i="1"/>
  <c r="Q19" i="1"/>
  <c r="T22" i="1"/>
  <c r="V22" i="1"/>
  <c r="W23" i="1"/>
  <c r="Q27" i="1"/>
  <c r="B26" i="3" l="1"/>
  <c r="B22" i="3"/>
  <c r="B6" i="3"/>
  <c r="B5" i="3"/>
  <c r="B14" i="3"/>
  <c r="B15" i="3"/>
  <c r="B7" i="3"/>
  <c r="B11" i="3"/>
  <c r="B4" i="3"/>
  <c r="B2" i="3"/>
  <c r="B24" i="3"/>
  <c r="B3" i="3"/>
  <c r="B21" i="3"/>
  <c r="B10" i="3"/>
  <c r="B18" i="3"/>
  <c r="B25" i="3"/>
  <c r="B20" i="3"/>
  <c r="B19" i="3"/>
  <c r="B16" i="3"/>
  <c r="B13" i="3"/>
  <c r="B8" i="3"/>
  <c r="B23" i="3"/>
  <c r="B12" i="3"/>
  <c r="B17" i="3"/>
  <c r="B9" i="3"/>
  <c r="J11" i="1"/>
  <c r="K11" i="1" l="1"/>
  <c r="N27" i="1" l="1"/>
  <c r="N23" i="1"/>
  <c r="N19" i="1"/>
  <c r="N15" i="1"/>
  <c r="N11" i="1"/>
  <c r="N7" i="1"/>
  <c r="N3" i="1"/>
  <c r="N16" i="1"/>
  <c r="N26" i="1"/>
  <c r="N20" i="1"/>
  <c r="N18" i="1"/>
  <c r="L11" i="1"/>
  <c r="N10" i="1"/>
  <c r="N9" i="1"/>
  <c r="N6" i="1"/>
  <c r="N2" i="1"/>
  <c r="R2" i="1" s="1"/>
  <c r="N21" i="1"/>
  <c r="N4" i="1"/>
  <c r="N12" i="1"/>
  <c r="N25" i="1"/>
  <c r="N17" i="1"/>
  <c r="N8" i="1"/>
  <c r="N5" i="1"/>
  <c r="N22" i="1"/>
  <c r="N13" i="1"/>
  <c r="N24" i="1"/>
  <c r="N14" i="1"/>
  <c r="R22" i="1" l="1"/>
  <c r="Y22" i="1"/>
  <c r="X22" i="1"/>
  <c r="X16" i="1"/>
  <c r="Y16" i="1"/>
  <c r="R16" i="1"/>
  <c r="Y5" i="1"/>
  <c r="R5" i="1"/>
  <c r="X5" i="1"/>
  <c r="Y6" i="1"/>
  <c r="X6" i="1"/>
  <c r="R6" i="1"/>
  <c r="Y3" i="1"/>
  <c r="X3" i="1"/>
  <c r="R3" i="1"/>
  <c r="S3" i="1" s="1"/>
  <c r="U3" i="1" s="1"/>
  <c r="X8" i="1"/>
  <c r="Y8" i="1"/>
  <c r="R8" i="1"/>
  <c r="Y9" i="1"/>
  <c r="R9" i="1"/>
  <c r="X9" i="1"/>
  <c r="R7" i="1"/>
  <c r="Y7" i="1"/>
  <c r="X7" i="1"/>
  <c r="X17" i="1"/>
  <c r="Y17" i="1"/>
  <c r="R17" i="1"/>
  <c r="X10" i="1"/>
  <c r="R10" i="1"/>
  <c r="S10" i="1" s="1"/>
  <c r="U10" i="1" s="1"/>
  <c r="Y10" i="1"/>
  <c r="Y11" i="1"/>
  <c r="X11" i="1"/>
  <c r="R11" i="1"/>
  <c r="X25" i="1"/>
  <c r="Y25" i="1"/>
  <c r="R25" i="1"/>
  <c r="M11" i="1"/>
  <c r="M9" i="1"/>
  <c r="M25" i="1"/>
  <c r="M4" i="1"/>
  <c r="M8" i="1"/>
  <c r="M12" i="1"/>
  <c r="M16" i="1"/>
  <c r="M20" i="1"/>
  <c r="M15" i="1"/>
  <c r="M3" i="1"/>
  <c r="M21" i="1"/>
  <c r="M7" i="1"/>
  <c r="M2" i="1"/>
  <c r="M13" i="1"/>
  <c r="M5" i="1"/>
  <c r="M14" i="1"/>
  <c r="M19" i="1"/>
  <c r="M22" i="1"/>
  <c r="M24" i="1"/>
  <c r="M18" i="1"/>
  <c r="M26" i="1"/>
  <c r="M27" i="1"/>
  <c r="M23" i="1"/>
  <c r="M10" i="1"/>
  <c r="M6" i="1"/>
  <c r="M17" i="1"/>
  <c r="Y15" i="1"/>
  <c r="X15" i="1"/>
  <c r="R15" i="1"/>
  <c r="R14" i="1"/>
  <c r="Y14" i="1"/>
  <c r="X14" i="1"/>
  <c r="X12" i="1"/>
  <c r="R12" i="1"/>
  <c r="Y12" i="1"/>
  <c r="Y18" i="1"/>
  <c r="X18" i="1"/>
  <c r="R18" i="1"/>
  <c r="R19" i="1"/>
  <c r="Y19" i="1"/>
  <c r="X19" i="1"/>
  <c r="X24" i="1"/>
  <c r="R24" i="1"/>
  <c r="Y24" i="1"/>
  <c r="X4" i="1"/>
  <c r="Y4" i="1"/>
  <c r="R4" i="1"/>
  <c r="X20" i="1"/>
  <c r="Y20" i="1"/>
  <c r="R20" i="1"/>
  <c r="R23" i="1"/>
  <c r="Y23" i="1"/>
  <c r="X23" i="1"/>
  <c r="Y13" i="1"/>
  <c r="R13" i="1"/>
  <c r="X13" i="1"/>
  <c r="X21" i="1"/>
  <c r="Y21" i="1"/>
  <c r="R21" i="1"/>
  <c r="Y26" i="1"/>
  <c r="X26" i="1"/>
  <c r="R26" i="1"/>
  <c r="Y27" i="1"/>
  <c r="X27" i="1"/>
  <c r="R27" i="1"/>
  <c r="S19" i="1" l="1"/>
  <c r="U19" i="1" s="1"/>
  <c r="S27" i="1"/>
  <c r="U27" i="1" s="1"/>
  <c r="Z9" i="1"/>
  <c r="Z19" i="1"/>
  <c r="Z14" i="1"/>
  <c r="S9" i="1"/>
  <c r="U9" i="1" s="1"/>
  <c r="AA24" i="1"/>
  <c r="S21" i="1"/>
  <c r="U21" i="1" s="1"/>
  <c r="AA26" i="1"/>
  <c r="AA23" i="1"/>
  <c r="AA18" i="1"/>
  <c r="Z15" i="1"/>
  <c r="Z11" i="1"/>
  <c r="Z7" i="1"/>
  <c r="Z8" i="1"/>
  <c r="S5" i="1"/>
  <c r="U5" i="1" s="1"/>
  <c r="S23" i="1"/>
  <c r="U23" i="1" s="1"/>
  <c r="AA12" i="1"/>
  <c r="S20" i="1"/>
  <c r="U20" i="1" s="1"/>
  <c r="S12" i="1"/>
  <c r="U12" i="1" s="1"/>
  <c r="AA10" i="1"/>
  <c r="S7" i="1"/>
  <c r="U7" i="1" s="1"/>
  <c r="S16" i="1"/>
  <c r="U16" i="1" s="1"/>
  <c r="S24" i="1"/>
  <c r="U24" i="1" s="1"/>
  <c r="AA15" i="1"/>
  <c r="AA11" i="1"/>
  <c r="AA7" i="1"/>
  <c r="AA5" i="1"/>
  <c r="AA21" i="1"/>
  <c r="Z24" i="1"/>
  <c r="Z3" i="1"/>
  <c r="Z21" i="1"/>
  <c r="AA20" i="1"/>
  <c r="Z12" i="1"/>
  <c r="AA3" i="1"/>
  <c r="AA16" i="1"/>
  <c r="Z27" i="1"/>
  <c r="Z13" i="1"/>
  <c r="Z20" i="1"/>
  <c r="AA19" i="1"/>
  <c r="S25" i="1"/>
  <c r="U25" i="1" s="1"/>
  <c r="Z10" i="1"/>
  <c r="S6" i="1"/>
  <c r="U6" i="1" s="1"/>
  <c r="Z16" i="1"/>
  <c r="AA27" i="1"/>
  <c r="S13" i="1"/>
  <c r="U13" i="1" s="1"/>
  <c r="S4" i="1"/>
  <c r="U4" i="1" s="1"/>
  <c r="AA14" i="1"/>
  <c r="AA25" i="1"/>
  <c r="S17" i="1"/>
  <c r="U17" i="1" s="1"/>
  <c r="AA9" i="1"/>
  <c r="Z6" i="1"/>
  <c r="Z22" i="1"/>
  <c r="S26" i="1"/>
  <c r="U26" i="1" s="1"/>
  <c r="AA13" i="1"/>
  <c r="AA4" i="1"/>
  <c r="S18" i="1"/>
  <c r="U18" i="1" s="1"/>
  <c r="S14" i="1"/>
  <c r="U14" i="1" s="1"/>
  <c r="Z25" i="1"/>
  <c r="AA17" i="1"/>
  <c r="S8" i="1"/>
  <c r="U8" i="1" s="1"/>
  <c r="AA6" i="1"/>
  <c r="AA22" i="1"/>
  <c r="Z26" i="1"/>
  <c r="Z23" i="1"/>
  <c r="Z4" i="1"/>
  <c r="Z18" i="1"/>
  <c r="S15" i="1"/>
  <c r="U15" i="1" s="1"/>
  <c r="S11" i="1"/>
  <c r="U11" i="1" s="1"/>
  <c r="Z17" i="1"/>
  <c r="AA8" i="1"/>
  <c r="Z5" i="1"/>
  <c r="S22" i="1"/>
  <c r="U22" i="1" s="1"/>
  <c r="AB5" i="1" l="1"/>
  <c r="AC5" i="1" s="1"/>
  <c r="D4" i="3" s="1"/>
  <c r="AB26" i="1"/>
  <c r="AD26" i="1" s="1"/>
  <c r="AB21" i="1"/>
  <c r="AD21" i="1" s="1"/>
  <c r="AB20" i="1"/>
  <c r="AD20" i="1" s="1"/>
  <c r="AB3" i="1"/>
  <c r="AC3" i="1" s="1"/>
  <c r="D2" i="3" s="1"/>
  <c r="AB8" i="1"/>
  <c r="AD8" i="1" s="1"/>
  <c r="AB17" i="1"/>
  <c r="AD17" i="1" s="1"/>
  <c r="AB13" i="1"/>
  <c r="AC13" i="1" s="1"/>
  <c r="D12" i="3" s="1"/>
  <c r="AB24" i="1"/>
  <c r="AD24" i="1" s="1"/>
  <c r="AB7" i="1"/>
  <c r="AC7" i="1" s="1"/>
  <c r="D6" i="3" s="1"/>
  <c r="AB14" i="1"/>
  <c r="AC14" i="1" s="1"/>
  <c r="D13" i="3" s="1"/>
  <c r="AB22" i="1"/>
  <c r="AD22" i="1" s="1"/>
  <c r="AB27" i="1"/>
  <c r="AC27" i="1" s="1"/>
  <c r="D26" i="3" s="1"/>
  <c r="AB11" i="1"/>
  <c r="AC11" i="1" s="1"/>
  <c r="D10" i="3" s="1"/>
  <c r="AB6" i="1"/>
  <c r="AD6" i="1" s="1"/>
  <c r="AB16" i="1"/>
  <c r="AD16" i="1" s="1"/>
  <c r="AB15" i="1"/>
  <c r="AC15" i="1" s="1"/>
  <c r="D14" i="3" s="1"/>
  <c r="AB18" i="1"/>
  <c r="AD18" i="1" s="1"/>
  <c r="AB25" i="1"/>
  <c r="AD25" i="1" s="1"/>
  <c r="AB9" i="1"/>
  <c r="AC9" i="1" s="1"/>
  <c r="D8" i="3" s="1"/>
  <c r="AB4" i="1"/>
  <c r="AD4" i="1" s="1"/>
  <c r="AB10" i="1"/>
  <c r="AD10" i="1" s="1"/>
  <c r="AB12" i="1"/>
  <c r="AC12" i="1" s="1"/>
  <c r="D11" i="3" s="1"/>
  <c r="AB19" i="1"/>
  <c r="AC19" i="1" s="1"/>
  <c r="D18" i="3" s="1"/>
  <c r="AB23" i="1"/>
  <c r="AD23" i="1" s="1"/>
  <c r="AE16" i="1"/>
  <c r="AE18" i="1"/>
  <c r="AE25" i="1"/>
  <c r="AE9" i="1"/>
  <c r="AE12" i="1"/>
  <c r="AE5" i="1"/>
  <c r="AE26" i="1"/>
  <c r="AE14" i="1"/>
  <c r="AE19" i="1"/>
  <c r="AE21" i="1"/>
  <c r="AE8" i="1"/>
  <c r="AE20" i="1"/>
  <c r="AE17" i="1"/>
  <c r="AE24" i="1"/>
  <c r="AE3" i="1"/>
  <c r="AE7" i="1"/>
  <c r="AE10" i="1"/>
  <c r="AE11" i="1"/>
  <c r="AE23" i="1"/>
  <c r="AE15" i="1"/>
  <c r="AE22" i="1"/>
  <c r="AE13" i="1"/>
  <c r="AE6" i="1"/>
  <c r="AE27" i="1"/>
  <c r="AE4" i="1"/>
  <c r="AC16" i="1" l="1"/>
  <c r="D15" i="3" s="1"/>
  <c r="AC24" i="1"/>
  <c r="D23" i="3" s="1"/>
  <c r="AD7" i="1"/>
  <c r="AC18" i="1"/>
  <c r="D17" i="3" s="1"/>
  <c r="AD27" i="1"/>
  <c r="AD13" i="1"/>
  <c r="AF13" i="1" s="1"/>
  <c r="AD19" i="1"/>
  <c r="C18" i="3" s="1"/>
  <c r="AD5" i="1"/>
  <c r="AF5" i="1" s="1"/>
  <c r="AD15" i="1"/>
  <c r="AF15" i="1" s="1"/>
  <c r="AC25" i="1"/>
  <c r="D24" i="3" s="1"/>
  <c r="AC21" i="1"/>
  <c r="D20" i="3" s="1"/>
  <c r="AC4" i="1"/>
  <c r="D3" i="3" s="1"/>
  <c r="AC20" i="1"/>
  <c r="D19" i="3" s="1"/>
  <c r="AD14" i="1"/>
  <c r="AF14" i="1" s="1"/>
  <c r="AC26" i="1"/>
  <c r="D25" i="3" s="1"/>
  <c r="C5" i="3"/>
  <c r="C16" i="3"/>
  <c r="C9" i="3"/>
  <c r="C7" i="3"/>
  <c r="C3" i="3"/>
  <c r="C21" i="3"/>
  <c r="C19" i="3"/>
  <c r="AF20" i="1"/>
  <c r="C24" i="3"/>
  <c r="C20" i="3"/>
  <c r="C25" i="3"/>
  <c r="C22" i="3"/>
  <c r="AF24" i="1"/>
  <c r="C23" i="3"/>
  <c r="AD12" i="1"/>
  <c r="AD3" i="1"/>
  <c r="AD11" i="1"/>
  <c r="AC6" i="1"/>
  <c r="D5" i="3" s="1"/>
  <c r="AC8" i="1"/>
  <c r="D7" i="3" s="1"/>
  <c r="AD9" i="1"/>
  <c r="AC17" i="1"/>
  <c r="D16" i="3" s="1"/>
  <c r="AC10" i="1"/>
  <c r="D9" i="3" s="1"/>
  <c r="C17" i="3"/>
  <c r="AF18" i="1"/>
  <c r="C14" i="3"/>
  <c r="AF7" i="1"/>
  <c r="C6" i="3"/>
  <c r="C15" i="3"/>
  <c r="AF16" i="1"/>
  <c r="AC22" i="1"/>
  <c r="D21" i="3" s="1"/>
  <c r="AC23" i="1"/>
  <c r="D22" i="3" s="1"/>
  <c r="AF23" i="1" l="1"/>
  <c r="C13" i="3"/>
  <c r="C12" i="3"/>
  <c r="AF22" i="1"/>
  <c r="C4" i="3"/>
  <c r="AF4" i="1"/>
  <c r="AF19" i="1"/>
  <c r="AF26" i="1"/>
  <c r="AF27" i="1"/>
  <c r="C26" i="3"/>
  <c r="AF10" i="1"/>
  <c r="AF21" i="1"/>
  <c r="AF25" i="1"/>
  <c r="AF8" i="1"/>
  <c r="C10" i="3"/>
  <c r="AF11" i="1"/>
  <c r="C8" i="3"/>
  <c r="AF9" i="1"/>
  <c r="C2" i="3"/>
  <c r="AF3" i="1"/>
  <c r="AF17" i="1"/>
  <c r="C11" i="3"/>
  <c r="AF12" i="1"/>
  <c r="AF6" i="1"/>
  <c r="F3" i="7" l="1"/>
  <c r="F4" i="7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</calcChain>
</file>

<file path=xl/sharedStrings.xml><?xml version="1.0" encoding="utf-8"?>
<sst xmlns="http://schemas.openxmlformats.org/spreadsheetml/2006/main" count="60" uniqueCount="50">
  <si>
    <t>Year</t>
  </si>
  <si>
    <t>Total Usage</t>
  </si>
  <si>
    <t>Real MYA Price</t>
  </si>
  <si>
    <t>Supply</t>
  </si>
  <si>
    <t>Elasticity</t>
  </si>
  <si>
    <t>P</t>
  </si>
  <si>
    <t>P~</t>
  </si>
  <si>
    <t>A</t>
  </si>
  <si>
    <t>S</t>
  </si>
  <si>
    <t>V</t>
  </si>
  <si>
    <t>IV</t>
  </si>
  <si>
    <t>K</t>
  </si>
  <si>
    <t>G</t>
  </si>
  <si>
    <t>y</t>
  </si>
  <si>
    <t>dy</t>
  </si>
  <si>
    <t>inverted elasticiy</t>
  </si>
  <si>
    <t>b0</t>
  </si>
  <si>
    <t>b1</t>
  </si>
  <si>
    <t>supply</t>
  </si>
  <si>
    <t>use</t>
  </si>
  <si>
    <t>dPrice</t>
  </si>
  <si>
    <t>GD</t>
  </si>
  <si>
    <t>GS</t>
  </si>
  <si>
    <t>yD</t>
  </si>
  <si>
    <t>yS</t>
  </si>
  <si>
    <t>U</t>
  </si>
  <si>
    <t>Change in Price ($/bu, MYA)</t>
  </si>
  <si>
    <t>Supply-Driven Price Impact</t>
  </si>
  <si>
    <t>Usage-Driven Price Impact</t>
  </si>
  <si>
    <t>use impact</t>
  </si>
  <si>
    <t>supply impact</t>
  </si>
  <si>
    <t>RESID</t>
  </si>
  <si>
    <t>TF</t>
  </si>
  <si>
    <t>USER</t>
  </si>
  <si>
    <t>avg</t>
  </si>
  <si>
    <t>rotation</t>
  </si>
  <si>
    <t>major axis</t>
  </si>
  <si>
    <t>minor axis</t>
  </si>
  <si>
    <t>rad</t>
  </si>
  <si>
    <t>dist</t>
  </si>
  <si>
    <t>Angle</t>
  </si>
  <si>
    <t>Price</t>
  </si>
  <si>
    <t>Usage</t>
  </si>
  <si>
    <t>dP</t>
  </si>
  <si>
    <t>dU</t>
  </si>
  <si>
    <t>dS</t>
  </si>
  <si>
    <t>%dP</t>
  </si>
  <si>
    <t>%dU</t>
  </si>
  <si>
    <t>%dS</t>
  </si>
  <si>
    <t>Predicted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</si>
</sst>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9" borderId="1" applyNumberFormat="0" applyAlignment="0" applyProtection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0" fillId="7" borderId="0" xfId="0" applyFill="1"/>
    <xf numFmtId="0" fontId="0" fillId="8" borderId="0" xfId="0" applyFill="1"/>
    <xf numFmtId="0" fontId="2" fillId="9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chart1!$A$2:$A$1048576</c:f>
              <c:numCache>
                <c:formatCode>General</c:formatCode>
                <c:ptCount val="104857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chart1!$C$2:$C$26</c:f>
              <c:numCache>
                <c:formatCode>"$"#,##0.00</c:formatCode>
                <c:ptCount val="25"/>
                <c:pt idx="0">
                  <c:v>8.1072142761747623E-2</c:v>
                </c:pt>
                <c:pt idx="1">
                  <c:v>1.0270971526718824</c:v>
                </c:pt>
                <c:pt idx="2">
                  <c:v>-1.1438167616066472</c:v>
                </c:pt>
                <c:pt idx="3">
                  <c:v>-1.14235263248051</c:v>
                </c:pt>
                <c:pt idx="4">
                  <c:v>-0.50343869990601453</c:v>
                </c:pt>
                <c:pt idx="5">
                  <c:v>1.3794704096849197</c:v>
                </c:pt>
                <c:pt idx="6">
                  <c:v>-2.9255784167605436</c:v>
                </c:pt>
                <c:pt idx="7">
                  <c:v>0.91312931236067341</c:v>
                </c:pt>
                <c:pt idx="8">
                  <c:v>-2.0041136718579784</c:v>
                </c:pt>
                <c:pt idx="9">
                  <c:v>1.797814865573466</c:v>
                </c:pt>
                <c:pt idx="10">
                  <c:v>2.5760862461716378</c:v>
                </c:pt>
                <c:pt idx="11">
                  <c:v>6.4568162126888238</c:v>
                </c:pt>
                <c:pt idx="12">
                  <c:v>-9.0235598178582475</c:v>
                </c:pt>
                <c:pt idx="13">
                  <c:v>-1.1915498551751129</c:v>
                </c:pt>
                <c:pt idx="14">
                  <c:v>1.7070624737407704E-2</c:v>
                </c:pt>
                <c:pt idx="15">
                  <c:v>-1.4374209193178138</c:v>
                </c:pt>
                <c:pt idx="16">
                  <c:v>-1.5705270841658021E-2</c:v>
                </c:pt>
                <c:pt idx="17">
                  <c:v>0.62107801889113268</c:v>
                </c:pt>
                <c:pt idx="18">
                  <c:v>0.42160285585514296</c:v>
                </c:pt>
                <c:pt idx="19">
                  <c:v>-0.10770371360063237</c:v>
                </c:pt>
                <c:pt idx="20">
                  <c:v>0.48075914164122657</c:v>
                </c:pt>
                <c:pt idx="21">
                  <c:v>2.5132041747926972</c:v>
                </c:pt>
                <c:pt idx="22">
                  <c:v>-3.2414716588483996</c:v>
                </c:pt>
                <c:pt idx="23">
                  <c:v>-0.30222943153157278</c:v>
                </c:pt>
                <c:pt idx="24">
                  <c:v>-1.467227549250123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C-4A93-B23E-3242693BA899}"/>
            </c:ext>
          </c:extLst>
        </c:ser>
        <c:ser>
          <c:idx val="1"/>
          <c:order val="1"/>
          <c:tx>
            <c:strRef>
              <c:f>chart1!$D$1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chart1!$A$2:$A$1048576</c:f>
              <c:numCache>
                <c:formatCode>General</c:formatCode>
                <c:ptCount val="104857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chart1!$D$2:$D$26</c:f>
              <c:numCache>
                <c:formatCode>"$"#,##0.00</c:formatCode>
                <c:ptCount val="25"/>
                <c:pt idx="0">
                  <c:v>3.7034975142927029E-2</c:v>
                </c:pt>
                <c:pt idx="1">
                  <c:v>-0.43426252998906306</c:v>
                </c:pt>
                <c:pt idx="2">
                  <c:v>1.2382277354041875</c:v>
                </c:pt>
                <c:pt idx="3">
                  <c:v>0.35078660589262362</c:v>
                </c:pt>
                <c:pt idx="4">
                  <c:v>0.31115724941786915</c:v>
                </c:pt>
                <c:pt idx="5">
                  <c:v>0.3149478255443694</c:v>
                </c:pt>
                <c:pt idx="6">
                  <c:v>4.6332893384414193</c:v>
                </c:pt>
                <c:pt idx="7">
                  <c:v>-1.4830387103249829</c:v>
                </c:pt>
                <c:pt idx="8">
                  <c:v>1.1079719445968499</c:v>
                </c:pt>
                <c:pt idx="9">
                  <c:v>0.63830976535116501</c:v>
                </c:pt>
                <c:pt idx="10">
                  <c:v>-1.3280156454273542</c:v>
                </c:pt>
                <c:pt idx="11">
                  <c:v>-5.7169911305771501</c:v>
                </c:pt>
                <c:pt idx="12">
                  <c:v>5.4544846551645403</c:v>
                </c:pt>
                <c:pt idx="13">
                  <c:v>5.628144893850202E-3</c:v>
                </c:pt>
                <c:pt idx="14">
                  <c:v>-0.23248503118885175</c:v>
                </c:pt>
                <c:pt idx="15">
                  <c:v>1.084455992679866</c:v>
                </c:pt>
                <c:pt idx="16">
                  <c:v>-2.2987072286732718E-2</c:v>
                </c:pt>
                <c:pt idx="17">
                  <c:v>-0.35282636467555112</c:v>
                </c:pt>
                <c:pt idx="18">
                  <c:v>-0.57486235998737345</c:v>
                </c:pt>
                <c:pt idx="19">
                  <c:v>1.1756532177328638</c:v>
                </c:pt>
                <c:pt idx="20">
                  <c:v>1.0859254248327623</c:v>
                </c:pt>
                <c:pt idx="21">
                  <c:v>-2.5550824319520999</c:v>
                </c:pt>
                <c:pt idx="22">
                  <c:v>0.78362859412615837</c:v>
                </c:pt>
                <c:pt idx="23">
                  <c:v>-0.11802478946435266</c:v>
                </c:pt>
                <c:pt idx="24">
                  <c:v>1.1444285256537023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C-4A93-B23E-3242693B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chart1!$B$1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numRef>
              <c:f>chart1!$A$2:$A$26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chart1!$B$2:$B$26</c:f>
              <c:numCache>
                <c:formatCode>"$"#,##0.00</c:formatCode>
                <c:ptCount val="25"/>
                <c:pt idx="0">
                  <c:v>0.11810711790467465</c:v>
                </c:pt>
                <c:pt idx="1">
                  <c:v>0.59283462268281939</c:v>
                </c:pt>
                <c:pt idx="2">
                  <c:v>9.4410973797540265E-2</c:v>
                </c:pt>
                <c:pt idx="3">
                  <c:v>-0.79156602658788655</c:v>
                </c:pt>
                <c:pt idx="4">
                  <c:v>-0.19228145048814538</c:v>
                </c:pt>
                <c:pt idx="5">
                  <c:v>1.6944182352292891</c:v>
                </c:pt>
                <c:pt idx="6">
                  <c:v>1.7077109216808752</c:v>
                </c:pt>
                <c:pt idx="7">
                  <c:v>-0.56990939796430951</c:v>
                </c:pt>
                <c:pt idx="8">
                  <c:v>-0.89614172726112873</c:v>
                </c:pt>
                <c:pt idx="9">
                  <c:v>2.4361246309246312</c:v>
                </c:pt>
                <c:pt idx="10">
                  <c:v>1.2480706007442839</c:v>
                </c:pt>
                <c:pt idx="11">
                  <c:v>0.73982508211167364</c:v>
                </c:pt>
                <c:pt idx="12">
                  <c:v>-3.5690751626937063</c:v>
                </c:pt>
                <c:pt idx="13">
                  <c:v>-1.1859217102812627</c:v>
                </c:pt>
                <c:pt idx="14">
                  <c:v>-0.21541440645144405</c:v>
                </c:pt>
                <c:pt idx="15">
                  <c:v>-0.35296492663794776</c:v>
                </c:pt>
                <c:pt idx="16">
                  <c:v>-3.869234312839076E-2</c:v>
                </c:pt>
                <c:pt idx="17">
                  <c:v>0.2682516542155815</c:v>
                </c:pt>
                <c:pt idx="18">
                  <c:v>-0.15325950413223044</c:v>
                </c:pt>
                <c:pt idx="19">
                  <c:v>1.0679495041322316</c:v>
                </c:pt>
                <c:pt idx="20">
                  <c:v>1.566684566473989</c:v>
                </c:pt>
                <c:pt idx="21">
                  <c:v>-4.1878257159402743E-2</c:v>
                </c:pt>
                <c:pt idx="22">
                  <c:v>-2.4578430647222413</c:v>
                </c:pt>
                <c:pt idx="23">
                  <c:v>-0.42025422099592546</c:v>
                </c:pt>
                <c:pt idx="24">
                  <c:v>-0.32279902359642065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4C-4A93-B23E-3242693B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9.5"/>
          <c:min val="-9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v>Safe Zone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'confidence elipse DISASTER'!$G$2:$G$27</c:f>
              <c:numCache>
                <c:formatCode>General</c:formatCode>
                <c:ptCount val="26"/>
                <c:pt idx="0">
                  <c:v>12838.002523283829</c:v>
                </c:pt>
                <c:pt idx="1">
                  <c:v>13800.782361508403</c:v>
                </c:pt>
                <c:pt idx="2">
                  <c:v>14870.347684813103</c:v>
                </c:pt>
                <c:pt idx="3">
                  <c:v>15418.721352529657</c:v>
                </c:pt>
                <c:pt idx="4">
                  <c:v>14661.47656101746</c:v>
                </c:pt>
                <c:pt idx="5">
                  <c:v>14156.54548198603</c:v>
                </c:pt>
                <c:pt idx="6">
                  <c:v>13953.993359125034</c:v>
                </c:pt>
                <c:pt idx="7">
                  <c:v>14240.045680075895</c:v>
                </c:pt>
                <c:pt idx="8">
                  <c:v>14751.707260154262</c:v>
                </c:pt>
                <c:pt idx="9">
                  <c:v>15018.558802284353</c:v>
                </c:pt>
                <c:pt idx="10">
                  <c:v>14795.258229280702</c:v>
                </c:pt>
                <c:pt idx="11">
                  <c:v>14287.10705815951</c:v>
                </c:pt>
                <c:pt idx="12">
                  <c:v>13961.297132190412</c:v>
                </c:pt>
                <c:pt idx="13">
                  <c:v>14117.376594759939</c:v>
                </c:pt>
                <c:pt idx="14">
                  <c:v>14611.846707778988</c:v>
                </c:pt>
                <c:pt idx="15">
                  <c:v>14990.093929703606</c:v>
                </c:pt>
                <c:pt idx="16">
                  <c:v>14904.359509072734</c:v>
                </c:pt>
                <c:pt idx="17">
                  <c:v>14433.467276829859</c:v>
                </c:pt>
                <c:pt idx="18">
                  <c:v>14010.353379668288</c:v>
                </c:pt>
                <c:pt idx="19">
                  <c:v>14024.026783348661</c:v>
                </c:pt>
                <c:pt idx="20">
                  <c:v>14461.916223585373</c:v>
                </c:pt>
                <c:pt idx="21">
                  <c:v>14921.428168455412</c:v>
                </c:pt>
                <c:pt idx="22">
                  <c:v>14980.089454993167</c:v>
                </c:pt>
                <c:pt idx="23">
                  <c:v>14583.967166886212</c:v>
                </c:pt>
                <c:pt idx="24">
                  <c:v>14097.254309008553</c:v>
                </c:pt>
                <c:pt idx="25">
                  <c:v>13967.432438301566</c:v>
                </c:pt>
              </c:numCache>
            </c:numRef>
          </c:xVal>
          <c:yVal>
            <c:numRef>
              <c:f>'confidence elipse DISASTER'!$H$2:$H$27</c:f>
              <c:numCache>
                <c:formatCode>General</c:formatCode>
                <c:ptCount val="26"/>
                <c:pt idx="0">
                  <c:v>12402.374097424718</c:v>
                </c:pt>
                <c:pt idx="1">
                  <c:v>10234.516624456868</c:v>
                </c:pt>
                <c:pt idx="2">
                  <c:v>10506.074912940734</c:v>
                </c:pt>
                <c:pt idx="3">
                  <c:v>12967.379524799462</c:v>
                </c:pt>
                <c:pt idx="4">
                  <c:v>15355.518350777909</c:v>
                </c:pt>
                <c:pt idx="5">
                  <c:v>15474.847567737956</c:v>
                </c:pt>
                <c:pt idx="6">
                  <c:v>13215.656443921414</c:v>
                </c:pt>
                <c:pt idx="7">
                  <c:v>10655.034879771545</c:v>
                </c:pt>
                <c:pt idx="8">
                  <c:v>10147.206532456374</c:v>
                </c:pt>
                <c:pt idx="9">
                  <c:v>12159.066442527053</c:v>
                </c:pt>
                <c:pt idx="10">
                  <c:v>14840.91988683194</c:v>
                </c:pt>
                <c:pt idx="11">
                  <c:v>15727.083176677945</c:v>
                </c:pt>
                <c:pt idx="12">
                  <c:v>14002.821870132044</c:v>
                </c:pt>
                <c:pt idx="13">
                  <c:v>11253.413860594115</c:v>
                </c:pt>
                <c:pt idx="14">
                  <c:v>10006.652192488669</c:v>
                </c:pt>
                <c:pt idx="15">
                  <c:v>11408.803793735831</c:v>
                </c:pt>
                <c:pt idx="16">
                  <c:v>14170.736948502374</c:v>
                </c:pt>
                <c:pt idx="17">
                  <c:v>15753.143051603267</c:v>
                </c:pt>
                <c:pt idx="18">
                  <c:v>14701.165229487184</c:v>
                </c:pt>
                <c:pt idx="19">
                  <c:v>11981.987040363365</c:v>
                </c:pt>
                <c:pt idx="20">
                  <c:v>10095.608371179544</c:v>
                </c:pt>
                <c:pt idx="21">
                  <c:v>10776.357070902381</c:v>
                </c:pt>
                <c:pt idx="22">
                  <c:v>13398.355924440173</c:v>
                </c:pt>
                <c:pt idx="23">
                  <c:v>15550.951277817516</c:v>
                </c:pt>
                <c:pt idx="24">
                  <c:v>15255.056890341362</c:v>
                </c:pt>
                <c:pt idx="25">
                  <c:v>12782.716697270409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6B-43C2-A2A4-3C49D8ABF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612591"/>
        <c:axId val="1825614991"/>
      </c:scatterChart>
      <c:scatterChart>
        <c:scatterStyle val="lineMarker"/>
        <c:varyColors val="0"/>
        <c:ser>
          <c:idx val="0"/>
          <c:order val="0"/>
          <c:tx>
            <c:strRef>
              <c:f>'confidence elipse DISASTER'!$D$1</c:f>
              <c:strCache>
                <c:ptCount val="1"/>
                <c:pt idx="0">
                  <c:v>Supply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'confidence elipse DISASTER'!$C$2:$C$28</c:f>
              <c:numCache>
                <c:formatCode>General</c:formatCode>
                <c:ptCount val="27"/>
                <c:pt idx="0">
                  <c:v>9740.2337200000002</c:v>
                </c:pt>
                <c:pt idx="1">
                  <c:v>9815.3872319999991</c:v>
                </c:pt>
                <c:pt idx="2">
                  <c:v>9490.9161760000006</c:v>
                </c:pt>
                <c:pt idx="3">
                  <c:v>10229.892904</c:v>
                </c:pt>
                <c:pt idx="4">
                  <c:v>10660.500088000001</c:v>
                </c:pt>
                <c:pt idx="5">
                  <c:v>11267.751488</c:v>
                </c:pt>
                <c:pt idx="6">
                  <c:v>11206.534248</c:v>
                </c:pt>
                <c:pt idx="7">
                  <c:v>12737.31956</c:v>
                </c:pt>
                <c:pt idx="8">
                  <c:v>12007.476208</c:v>
                </c:pt>
                <c:pt idx="9">
                  <c:v>13040.925576</c:v>
                </c:pt>
                <c:pt idx="10">
                  <c:v>13033.051976000001</c:v>
                </c:pt>
                <c:pt idx="11">
                  <c:v>12481.899976000001</c:v>
                </c:pt>
                <c:pt idx="12">
                  <c:v>11082.800624</c:v>
                </c:pt>
                <c:pt idx="13">
                  <c:v>13455.667455999999</c:v>
                </c:pt>
                <c:pt idx="14">
                  <c:v>13749.588943999999</c:v>
                </c:pt>
                <c:pt idx="15">
                  <c:v>13663.569863999999</c:v>
                </c:pt>
                <c:pt idx="16">
                  <c:v>14648.754064000001</c:v>
                </c:pt>
                <c:pt idx="17">
                  <c:v>14798.313096</c:v>
                </c:pt>
                <c:pt idx="18">
                  <c:v>14252.830088000001</c:v>
                </c:pt>
                <c:pt idx="19">
                  <c:v>13842.772999999999</c:v>
                </c:pt>
                <c:pt idx="20">
                  <c:v>14880.71032</c:v>
                </c:pt>
                <c:pt idx="21">
                  <c:v>14899.488856</c:v>
                </c:pt>
                <c:pt idx="22">
                  <c:v>13705.772360000001</c:v>
                </c:pt>
                <c:pt idx="23">
                  <c:v>14965.666464</c:v>
                </c:pt>
                <c:pt idx="24">
                  <c:v>15145.066440000001</c:v>
                </c:pt>
                <c:pt idx="25">
                  <c:v>16279.888408000001</c:v>
                </c:pt>
                <c:pt idx="26">
                  <c:v>17907.877248800003</c:v>
                </c:pt>
              </c:numCache>
            </c:numRef>
          </c:xVal>
          <c:yVal>
            <c:numRef>
              <c:f>'confidence elipse DISASTER'!$D$2:$D$28</c:f>
              <c:numCache>
                <c:formatCode>General</c:formatCode>
                <c:ptCount val="27"/>
                <c:pt idx="0">
                  <c:v>11639.34604</c:v>
                </c:pt>
                <c:pt idx="1">
                  <c:v>11411.799000000001</c:v>
                </c:pt>
                <c:pt idx="2">
                  <c:v>10577.59108</c:v>
                </c:pt>
                <c:pt idx="3">
                  <c:v>11187.99192</c:v>
                </c:pt>
                <c:pt idx="4">
                  <c:v>12774.443584000001</c:v>
                </c:pt>
                <c:pt idx="5">
                  <c:v>13234.891712000001</c:v>
                </c:pt>
                <c:pt idx="6">
                  <c:v>12510.1662</c:v>
                </c:pt>
                <c:pt idx="7">
                  <c:v>14361.446400000001</c:v>
                </c:pt>
                <c:pt idx="8">
                  <c:v>13680.77368</c:v>
                </c:pt>
                <c:pt idx="9">
                  <c:v>14748.709416</c:v>
                </c:pt>
                <c:pt idx="10">
                  <c:v>14160.708968000001</c:v>
                </c:pt>
                <c:pt idx="11">
                  <c:v>13470.902872000001</c:v>
                </c:pt>
                <c:pt idx="12">
                  <c:v>11903.977736000001</c:v>
                </c:pt>
                <c:pt idx="13">
                  <c:v>14687.570911999999</c:v>
                </c:pt>
                <c:pt idx="14">
                  <c:v>15480.757376</c:v>
                </c:pt>
                <c:pt idx="15">
                  <c:v>15400.604128000001</c:v>
                </c:pt>
                <c:pt idx="16">
                  <c:v>16942.058168</c:v>
                </c:pt>
                <c:pt idx="17">
                  <c:v>16938.633151999999</c:v>
                </c:pt>
                <c:pt idx="18">
                  <c:v>16489.837952000002</c:v>
                </c:pt>
                <c:pt idx="19">
                  <c:v>15847.115984</c:v>
                </c:pt>
                <c:pt idx="20">
                  <c:v>16115.212063999999</c:v>
                </c:pt>
                <c:pt idx="21">
                  <c:v>16276.384656</c:v>
                </c:pt>
                <c:pt idx="22">
                  <c:v>15065.976128</c:v>
                </c:pt>
                <c:pt idx="23">
                  <c:v>16729.037919999999</c:v>
                </c:pt>
                <c:pt idx="24">
                  <c:v>16676.678479999999</c:v>
                </c:pt>
                <c:pt idx="25">
                  <c:v>18308.678919999998</c:v>
                </c:pt>
                <c:pt idx="26">
                  <c:v>16477.811028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B-43C2-A2A4-3C49D8ABF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612591"/>
        <c:axId val="1825614991"/>
      </c:scatterChart>
      <c:valAx>
        <c:axId val="18256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14991"/>
        <c:crosses val="autoZero"/>
        <c:crossBetween val="midCat"/>
      </c:valAx>
      <c:valAx>
        <c:axId val="18256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1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1</xdr:row>
      <xdr:rowOff>7620</xdr:rowOff>
    </xdr:from>
    <xdr:to>
      <xdr:col>15</xdr:col>
      <xdr:colOff>144780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5E066-538C-495B-9895-95B22B5A9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1</xdr:row>
      <xdr:rowOff>7620</xdr:rowOff>
    </xdr:from>
    <xdr:to>
      <xdr:col>19</xdr:col>
      <xdr:colOff>601980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4287A-052D-58B0-105F-479D2F755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4325-5F59-4705-9F92-15E73264F344}">
  <dimension ref="A1:AF27"/>
  <sheetViews>
    <sheetView workbookViewId="0">
      <selection activeCell="R2" sqref="R2"/>
    </sheetView>
  </sheetViews>
  <sheetFormatPr defaultRowHeight="14.25" x14ac:dyDescent="0.45"/>
  <cols>
    <col min="16" max="16" width="10.33203125" customWidth="1"/>
    <col min="24" max="24" width="12" bestFit="1" customWidth="1"/>
    <col min="25" max="25" width="11" bestFit="1" customWidth="1"/>
    <col min="29" max="29" width="12.6640625" bestFit="1" customWidth="1"/>
    <col min="30" max="30" width="12.86328125" bestFit="1" customWidth="1"/>
  </cols>
  <sheetData>
    <row r="1" spans="1:32" x14ac:dyDescent="0.4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>
        <v>-0.17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</v>
      </c>
      <c r="P1" s="2" t="s">
        <v>19</v>
      </c>
      <c r="Q1" s="2" t="s">
        <v>12</v>
      </c>
      <c r="R1" s="2" t="s">
        <v>13</v>
      </c>
      <c r="S1" s="2" t="s">
        <v>14</v>
      </c>
      <c r="T1" s="2" t="s">
        <v>20</v>
      </c>
      <c r="U1" s="2" t="s">
        <v>31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8</v>
      </c>
      <c r="AB1" s="2" t="s">
        <v>32</v>
      </c>
      <c r="AC1" s="2" t="s">
        <v>29</v>
      </c>
      <c r="AD1" s="2" t="s">
        <v>30</v>
      </c>
    </row>
    <row r="2" spans="1:32" x14ac:dyDescent="0.45">
      <c r="A2">
        <v>2000</v>
      </c>
      <c r="B2" s="1">
        <v>9740.2337200000002</v>
      </c>
      <c r="C2" s="1">
        <v>3.6736133122028529</v>
      </c>
      <c r="D2" s="1">
        <v>11639.34604</v>
      </c>
      <c r="E2" t="s">
        <v>15</v>
      </c>
      <c r="F2">
        <f>1/F1</f>
        <v>-5.8823529411764701</v>
      </c>
      <c r="G2">
        <v>2000</v>
      </c>
      <c r="H2">
        <f>C2</f>
        <v>3.6736133122028529</v>
      </c>
      <c r="I2">
        <f>H2^$F$1</f>
        <v>0.8015564537064388</v>
      </c>
      <c r="J2">
        <f>B2/I2</f>
        <v>12151.65029856681</v>
      </c>
      <c r="K2">
        <f>D2/J2</f>
        <v>0.95784076681113572</v>
      </c>
      <c r="L2">
        <f>K2^$F$2</f>
        <v>1.2883661645613214</v>
      </c>
      <c r="M2" s="3">
        <f>100*L2/$L$11</f>
        <v>48.924870695448078</v>
      </c>
      <c r="N2">
        <f>100*$K$11^-$F$2</f>
        <v>37.974352355105992</v>
      </c>
      <c r="O2">
        <f>D2</f>
        <v>11639.34604</v>
      </c>
      <c r="P2">
        <f>B2</f>
        <v>9740.2337200000002</v>
      </c>
      <c r="Q2">
        <f>(D2/B2)^$F$2</f>
        <v>0.35070815980595504</v>
      </c>
      <c r="R2" s="4">
        <f>$F$3+$F$4*(N2*H2)*Q2</f>
        <v>3.500665810532519</v>
      </c>
    </row>
    <row r="3" spans="1:32" x14ac:dyDescent="0.45">
      <c r="A3">
        <v>2001</v>
      </c>
      <c r="B3" s="1">
        <v>9815.3872319999991</v>
      </c>
      <c r="C3" s="1">
        <v>3.7917204301075276</v>
      </c>
      <c r="D3" s="1">
        <v>11411.799000000001</v>
      </c>
      <c r="E3" t="s">
        <v>16</v>
      </c>
      <c r="F3" s="1">
        <v>1.9155</v>
      </c>
      <c r="G3">
        <v>2001</v>
      </c>
      <c r="H3">
        <f t="shared" ref="H3:H27" si="0">C3</f>
        <v>3.7917204301075276</v>
      </c>
      <c r="I3">
        <f t="shared" ref="I3:I27" si="1">H3^$F$1</f>
        <v>0.79725605726351467</v>
      </c>
      <c r="J3">
        <f t="shared" ref="J3:J27" si="2">B3/I3</f>
        <v>12311.461471600645</v>
      </c>
      <c r="K3">
        <f t="shared" ref="K3:K27" si="3">D3/J3</f>
        <v>0.92692480306453195</v>
      </c>
      <c r="L3">
        <f t="shared" ref="L3:L27" si="4">K3^$F$2</f>
        <v>1.5626289377873346</v>
      </c>
      <c r="M3" s="3">
        <f t="shared" ref="M3:M27" si="5">100*L3/$L$11</f>
        <v>59.339821883821237</v>
      </c>
      <c r="N3">
        <f t="shared" ref="N3:N27" si="6">100*$K$11^-$F$2</f>
        <v>37.974352355105992</v>
      </c>
      <c r="O3">
        <f t="shared" ref="O3:O27" si="7">D3</f>
        <v>11411.799000000001</v>
      </c>
      <c r="P3">
        <f t="shared" ref="P3:P27" si="8">B3</f>
        <v>9815.3872319999991</v>
      </c>
      <c r="Q3">
        <f t="shared" ref="Q3:Q27" si="9">(D3/B3)^$F$2</f>
        <v>0.41211607411230478</v>
      </c>
      <c r="R3" s="4">
        <f t="shared" ref="R3:R27" si="10">$F$3+$F$4*(N3*H3)*Q3</f>
        <v>3.8381102290358076</v>
      </c>
      <c r="S3" s="5">
        <f>R3-R2</f>
        <v>0.33744441850328855</v>
      </c>
      <c r="T3" s="9">
        <f>H3-H2</f>
        <v>0.11810711790467465</v>
      </c>
      <c r="U3">
        <f>T3-S3</f>
        <v>-0.21933730059861389</v>
      </c>
      <c r="V3">
        <f>(D2/B3)^$F$2</f>
        <v>0.36692856003193935</v>
      </c>
      <c r="W3">
        <f t="shared" ref="W3:W27" si="11">(D3/B2)^$F$2</f>
        <v>0.39389812002042091</v>
      </c>
      <c r="X3">
        <f t="shared" ref="X3:X27" si="12">$F$3+$F$4*(N3*H3)*V3</f>
        <v>3.6273007453660799</v>
      </c>
      <c r="Y3">
        <f t="shared" ref="Y3:Y27" si="13">$F$3+$F$4*(N3*H3)*W3</f>
        <v>3.7531195502213341</v>
      </c>
      <c r="Z3">
        <f t="shared" ref="Z3:Z27" si="14">0.5*((X3-R2)+(R3-Y3))</f>
        <v>0.10581280682401717</v>
      </c>
      <c r="AA3">
        <f t="shared" ref="AA3:AA27" si="15">0.5*((Y3-R2)+(R3-X3))</f>
        <v>0.23163161167927138</v>
      </c>
      <c r="AB3">
        <f>ABS(Z3)+ABS(AA3)</f>
        <v>0.33744441850328855</v>
      </c>
      <c r="AC3" s="1">
        <f>Z3+U3*(ABS(Z3)/AB3)</f>
        <v>3.7034975142927029E-2</v>
      </c>
      <c r="AD3" s="1">
        <f>AA3+U3*(ABS(AA3)/AB3)</f>
        <v>8.1072142761747623E-2</v>
      </c>
      <c r="AE3" s="5">
        <f t="shared" ref="AE3:AE27" si="16">Z3+AA3</f>
        <v>0.33744441850328855</v>
      </c>
      <c r="AF3" s="9">
        <f>AD3+AC3</f>
        <v>0.11810711790467465</v>
      </c>
    </row>
    <row r="4" spans="1:32" x14ac:dyDescent="0.45">
      <c r="A4">
        <v>2002</v>
      </c>
      <c r="B4" s="1">
        <v>9490.9161760000006</v>
      </c>
      <c r="C4" s="1">
        <v>4.384555052790347</v>
      </c>
      <c r="D4" s="1">
        <v>10577.59108</v>
      </c>
      <c r="E4" t="s">
        <v>17</v>
      </c>
      <c r="F4" s="1">
        <v>3.2399999999999998E-2</v>
      </c>
      <c r="G4">
        <v>2002</v>
      </c>
      <c r="H4">
        <f t="shared" si="0"/>
        <v>4.384555052790347</v>
      </c>
      <c r="I4">
        <f t="shared" si="1"/>
        <v>0.77780845604991511</v>
      </c>
      <c r="J4">
        <f t="shared" si="2"/>
        <v>12202.125217562472</v>
      </c>
      <c r="K4">
        <f t="shared" si="3"/>
        <v>0.86686465606628205</v>
      </c>
      <c r="L4">
        <f t="shared" si="4"/>
        <v>2.3173539651052319</v>
      </c>
      <c r="M4" s="3">
        <f t="shared" si="5"/>
        <v>88.00001600240806</v>
      </c>
      <c r="N4">
        <f t="shared" si="6"/>
        <v>37.974352355105992</v>
      </c>
      <c r="O4">
        <f t="shared" si="7"/>
        <v>10577.59108</v>
      </c>
      <c r="P4">
        <f t="shared" si="8"/>
        <v>9490.9161760000006</v>
      </c>
      <c r="Q4">
        <f t="shared" si="9"/>
        <v>0.52852659784268341</v>
      </c>
      <c r="R4" s="4">
        <f t="shared" si="10"/>
        <v>4.766700518478018</v>
      </c>
      <c r="S4" s="5">
        <f t="shared" ref="S4:S27" si="17">R4-R3</f>
        <v>0.92859028944221045</v>
      </c>
      <c r="T4" s="9">
        <f t="shared" ref="T4:T27" si="18">H4-H3</f>
        <v>0.59283462268281939</v>
      </c>
      <c r="U4">
        <f t="shared" ref="U4:U27" si="19">T4-S4</f>
        <v>-0.33575566675939106</v>
      </c>
      <c r="V4">
        <f t="shared" ref="V4:V27" si="20">(D3/B4)^$F$2</f>
        <v>0.33817485921426155</v>
      </c>
      <c r="W4">
        <f t="shared" si="11"/>
        <v>0.64408781620533351</v>
      </c>
      <c r="X4">
        <f t="shared" si="12"/>
        <v>3.7398250914212832</v>
      </c>
      <c r="Y4">
        <f t="shared" si="13"/>
        <v>5.3901094576996762</v>
      </c>
      <c r="Z4">
        <f t="shared" si="14"/>
        <v>-0.36084703841809129</v>
      </c>
      <c r="AA4">
        <f t="shared" si="15"/>
        <v>1.2894373278603017</v>
      </c>
      <c r="AB4">
        <f t="shared" ref="AB4:AB27" si="21">ABS(Z4)+ABS(AA4)</f>
        <v>1.650284366278393</v>
      </c>
      <c r="AC4" s="1">
        <f t="shared" ref="AC4:AC27" si="22">Z4+U4*(ABS(Z4)/AB4)</f>
        <v>-0.43426252998906306</v>
      </c>
      <c r="AD4" s="1">
        <f t="shared" ref="AD4:AD27" si="23">AA4+U4*(ABS(AA4)/AB4)</f>
        <v>1.0270971526718824</v>
      </c>
      <c r="AE4" s="5">
        <f t="shared" si="16"/>
        <v>0.92859028944221045</v>
      </c>
      <c r="AF4" s="9">
        <f t="shared" ref="AF4:AF27" si="24">AD4+AC4</f>
        <v>0.59283462268281939</v>
      </c>
    </row>
    <row r="5" spans="1:32" x14ac:dyDescent="0.45">
      <c r="A5">
        <v>2003</v>
      </c>
      <c r="B5" s="1">
        <v>10229.892904</v>
      </c>
      <c r="C5" s="1">
        <v>4.4789660265878872</v>
      </c>
      <c r="D5" s="1">
        <v>11187.99192</v>
      </c>
      <c r="G5">
        <v>2003</v>
      </c>
      <c r="H5">
        <f t="shared" si="0"/>
        <v>4.4789660265878872</v>
      </c>
      <c r="I5">
        <f t="shared" si="1"/>
        <v>0.77499656820133334</v>
      </c>
      <c r="J5">
        <f t="shared" si="2"/>
        <v>13199.920262540332</v>
      </c>
      <c r="K5">
        <f t="shared" si="3"/>
        <v>0.84758026544676002</v>
      </c>
      <c r="L5">
        <f t="shared" si="4"/>
        <v>2.6452435786475901</v>
      </c>
      <c r="M5" s="3">
        <f t="shared" si="5"/>
        <v>100.4514117206451</v>
      </c>
      <c r="N5">
        <f t="shared" si="6"/>
        <v>37.974352355105992</v>
      </c>
      <c r="O5">
        <f t="shared" si="7"/>
        <v>11187.99192</v>
      </c>
      <c r="P5">
        <f t="shared" si="8"/>
        <v>10229.892904</v>
      </c>
      <c r="Q5">
        <f t="shared" si="9"/>
        <v>0.59059246329286397</v>
      </c>
      <c r="R5" s="4">
        <f t="shared" si="10"/>
        <v>5.1701257397489035</v>
      </c>
      <c r="S5" s="5">
        <f t="shared" si="17"/>
        <v>0.40342522127088554</v>
      </c>
      <c r="T5" s="9">
        <f t="shared" si="18"/>
        <v>9.4410973797540265E-2</v>
      </c>
      <c r="U5">
        <f t="shared" si="19"/>
        <v>-0.30901424747334527</v>
      </c>
      <c r="V5">
        <f t="shared" si="20"/>
        <v>0.82151142783074516</v>
      </c>
      <c r="W5">
        <f t="shared" si="11"/>
        <v>0.37996285232445709</v>
      </c>
      <c r="X5">
        <f t="shared" si="12"/>
        <v>6.4426695876518014</v>
      </c>
      <c r="Y5">
        <f t="shared" si="13"/>
        <v>4.0093920764899158</v>
      </c>
      <c r="Z5">
        <f t="shared" si="14"/>
        <v>1.4183513662163856</v>
      </c>
      <c r="AA5">
        <f t="shared" si="15"/>
        <v>-1.0149261449455</v>
      </c>
      <c r="AB5">
        <f t="shared" si="21"/>
        <v>2.4332775111618856</v>
      </c>
      <c r="AC5" s="1">
        <f t="shared" si="22"/>
        <v>1.2382277354041875</v>
      </c>
      <c r="AD5" s="1">
        <f t="shared" si="23"/>
        <v>-1.1438167616066472</v>
      </c>
      <c r="AE5" s="5">
        <f t="shared" si="16"/>
        <v>0.40342522127088554</v>
      </c>
      <c r="AF5" s="9">
        <f t="shared" si="24"/>
        <v>9.4410973797540265E-2</v>
      </c>
    </row>
    <row r="6" spans="1:32" x14ac:dyDescent="0.45">
      <c r="A6">
        <v>2004</v>
      </c>
      <c r="B6" s="1">
        <v>10660.500088000001</v>
      </c>
      <c r="C6" s="1">
        <v>3.6874000000000007</v>
      </c>
      <c r="D6" s="1">
        <v>12774.443584000001</v>
      </c>
      <c r="G6">
        <v>2004</v>
      </c>
      <c r="H6">
        <f t="shared" si="0"/>
        <v>3.6874000000000007</v>
      </c>
      <c r="I6">
        <f t="shared" si="1"/>
        <v>0.80104618656105331</v>
      </c>
      <c r="J6">
        <f t="shared" si="2"/>
        <v>13308.221506884971</v>
      </c>
      <c r="K6">
        <f t="shared" si="3"/>
        <v>0.95989111523212756</v>
      </c>
      <c r="L6">
        <f t="shared" si="4"/>
        <v>1.2722622352378288</v>
      </c>
      <c r="M6" s="3">
        <f t="shared" si="5"/>
        <v>48.313334409016051</v>
      </c>
      <c r="N6">
        <f t="shared" si="6"/>
        <v>37.974352355105992</v>
      </c>
      <c r="O6">
        <f t="shared" si="7"/>
        <v>12774.443584000001</v>
      </c>
      <c r="P6">
        <f t="shared" si="8"/>
        <v>10660.500088000001</v>
      </c>
      <c r="Q6">
        <f t="shared" si="9"/>
        <v>0.34502962391870384</v>
      </c>
      <c r="R6" s="4">
        <f t="shared" si="10"/>
        <v>3.4808520348521204</v>
      </c>
      <c r="S6" s="5">
        <f t="shared" si="17"/>
        <v>-1.6892737048967832</v>
      </c>
      <c r="T6" s="9">
        <f t="shared" si="18"/>
        <v>-0.79156602658788655</v>
      </c>
      <c r="U6">
        <f t="shared" si="19"/>
        <v>0.89770767830889664</v>
      </c>
      <c r="V6">
        <f t="shared" si="20"/>
        <v>0.75269702617975021</v>
      </c>
      <c r="W6">
        <f t="shared" si="11"/>
        <v>0.27072233370362125</v>
      </c>
      <c r="X6">
        <f t="shared" si="12"/>
        <v>5.3303830705482511</v>
      </c>
      <c r="Y6">
        <f t="shared" si="13"/>
        <v>3.1437300607403165</v>
      </c>
      <c r="Z6">
        <f t="shared" si="14"/>
        <v>0.24868965245557573</v>
      </c>
      <c r="AA6">
        <f t="shared" si="15"/>
        <v>-1.9379633573523589</v>
      </c>
      <c r="AB6">
        <f t="shared" si="21"/>
        <v>2.1866530098079346</v>
      </c>
      <c r="AC6" s="1">
        <f t="shared" si="22"/>
        <v>0.35078660589262362</v>
      </c>
      <c r="AD6" s="1">
        <f t="shared" si="23"/>
        <v>-1.14235263248051</v>
      </c>
      <c r="AE6" s="5">
        <f t="shared" si="16"/>
        <v>-1.6892737048967832</v>
      </c>
      <c r="AF6" s="9">
        <f t="shared" si="24"/>
        <v>-0.79156602658788633</v>
      </c>
    </row>
    <row r="7" spans="1:32" x14ac:dyDescent="0.45">
      <c r="A7">
        <v>2005</v>
      </c>
      <c r="B7" s="1">
        <v>11267.751488</v>
      </c>
      <c r="C7" s="1">
        <v>3.4951185495118553</v>
      </c>
      <c r="D7" s="1">
        <v>13234.891712000001</v>
      </c>
      <c r="G7">
        <v>2005</v>
      </c>
      <c r="H7">
        <f t="shared" si="0"/>
        <v>3.4951185495118553</v>
      </c>
      <c r="I7">
        <f t="shared" si="1"/>
        <v>0.80837239630090485</v>
      </c>
      <c r="J7">
        <f t="shared" si="2"/>
        <v>13938.812779309381</v>
      </c>
      <c r="K7">
        <f t="shared" si="3"/>
        <v>0.94949920926161857</v>
      </c>
      <c r="L7">
        <f t="shared" si="4"/>
        <v>1.3563902595578872</v>
      </c>
      <c r="M7" s="3">
        <f t="shared" si="5"/>
        <v>51.50804164748488</v>
      </c>
      <c r="N7">
        <f t="shared" si="6"/>
        <v>37.974352355105992</v>
      </c>
      <c r="O7">
        <f t="shared" si="7"/>
        <v>13234.891712000001</v>
      </c>
      <c r="P7">
        <f t="shared" si="8"/>
        <v>11267.751488</v>
      </c>
      <c r="Q7">
        <f t="shared" si="9"/>
        <v>0.38808133124621141</v>
      </c>
      <c r="R7" s="4">
        <f t="shared" si="10"/>
        <v>3.5843605493785118</v>
      </c>
      <c r="S7" s="5">
        <f t="shared" si="17"/>
        <v>0.10350851452639143</v>
      </c>
      <c r="T7" s="9">
        <f t="shared" si="18"/>
        <v>-0.19228145048814538</v>
      </c>
      <c r="U7">
        <f t="shared" si="19"/>
        <v>-0.2957899650145368</v>
      </c>
      <c r="V7">
        <f t="shared" si="20"/>
        <v>0.47795160616887927</v>
      </c>
      <c r="W7">
        <f t="shared" si="11"/>
        <v>0.28015295699715287</v>
      </c>
      <c r="X7">
        <f t="shared" si="12"/>
        <v>3.9708283959472208</v>
      </c>
      <c r="Y7">
        <f t="shared" si="13"/>
        <v>3.1202377188253942</v>
      </c>
      <c r="Z7">
        <f t="shared" si="14"/>
        <v>0.477049595824109</v>
      </c>
      <c r="AA7">
        <f t="shared" si="15"/>
        <v>-0.37354108129771757</v>
      </c>
      <c r="AB7">
        <f t="shared" si="21"/>
        <v>0.85059067712182657</v>
      </c>
      <c r="AC7" s="1">
        <f t="shared" si="22"/>
        <v>0.31115724941786915</v>
      </c>
      <c r="AD7" s="1">
        <f t="shared" si="23"/>
        <v>-0.50343869990601453</v>
      </c>
      <c r="AE7" s="5">
        <f t="shared" si="16"/>
        <v>0.10350851452639143</v>
      </c>
      <c r="AF7" s="9">
        <f t="shared" si="24"/>
        <v>-0.19228145048814538</v>
      </c>
    </row>
    <row r="8" spans="1:32" x14ac:dyDescent="0.45">
      <c r="A8">
        <v>2006</v>
      </c>
      <c r="B8" s="1">
        <v>11206.534248</v>
      </c>
      <c r="C8" s="1">
        <v>5.1895367847411444</v>
      </c>
      <c r="D8" s="1">
        <v>12510.1662</v>
      </c>
      <c r="G8">
        <v>2006</v>
      </c>
      <c r="H8">
        <f t="shared" si="0"/>
        <v>5.1895367847411444</v>
      </c>
      <c r="I8">
        <f t="shared" si="1"/>
        <v>0.75583698444949521</v>
      </c>
      <c r="J8">
        <f t="shared" si="2"/>
        <v>14826.655057323167</v>
      </c>
      <c r="K8">
        <f t="shared" si="3"/>
        <v>0.84376187020153215</v>
      </c>
      <c r="L8">
        <f t="shared" si="4"/>
        <v>2.7164431093477028</v>
      </c>
      <c r="M8" s="3">
        <f t="shared" si="5"/>
        <v>103.15516778696936</v>
      </c>
      <c r="N8">
        <f t="shared" si="6"/>
        <v>37.974352355105992</v>
      </c>
      <c r="O8">
        <f t="shared" si="7"/>
        <v>12510.1662</v>
      </c>
      <c r="P8">
        <f t="shared" si="8"/>
        <v>11206.534248</v>
      </c>
      <c r="Q8">
        <f t="shared" si="9"/>
        <v>0.52344616138667588</v>
      </c>
      <c r="R8" s="4">
        <f t="shared" si="10"/>
        <v>5.2577274362978095</v>
      </c>
      <c r="S8" s="5">
        <f t="shared" si="17"/>
        <v>1.6733668869192977</v>
      </c>
      <c r="T8" s="9">
        <f t="shared" si="18"/>
        <v>1.6944182352292891</v>
      </c>
      <c r="U8">
        <f t="shared" si="19"/>
        <v>2.1051348309991447E-2</v>
      </c>
      <c r="V8">
        <f t="shared" si="20"/>
        <v>0.37584214085500867</v>
      </c>
      <c r="W8">
        <f t="shared" si="11"/>
        <v>0.54049203392822021</v>
      </c>
      <c r="X8">
        <f t="shared" si="12"/>
        <v>4.3152690833280998</v>
      </c>
      <c r="Y8">
        <f t="shared" si="13"/>
        <v>5.3665661041238586</v>
      </c>
      <c r="Z8">
        <f t="shared" si="14"/>
        <v>0.31103493306176944</v>
      </c>
      <c r="AA8">
        <f t="shared" si="15"/>
        <v>1.3623319538575283</v>
      </c>
      <c r="AB8">
        <f t="shared" si="21"/>
        <v>1.6733668869192977</v>
      </c>
      <c r="AC8" s="1">
        <f t="shared" si="22"/>
        <v>0.3149478255443694</v>
      </c>
      <c r="AD8" s="1">
        <f t="shared" si="23"/>
        <v>1.3794704096849197</v>
      </c>
      <c r="AE8" s="5">
        <f t="shared" si="16"/>
        <v>1.6733668869192977</v>
      </c>
      <c r="AF8" s="9">
        <f t="shared" si="24"/>
        <v>1.6944182352292891</v>
      </c>
    </row>
    <row r="9" spans="1:32" x14ac:dyDescent="0.45">
      <c r="A9">
        <v>2007</v>
      </c>
      <c r="B9" s="1">
        <v>12737.31956</v>
      </c>
      <c r="C9" s="1">
        <v>6.8972477064220197</v>
      </c>
      <c r="D9" s="1">
        <v>14361.446400000001</v>
      </c>
      <c r="G9">
        <v>2007</v>
      </c>
      <c r="H9">
        <f t="shared" si="0"/>
        <v>6.8972477064220197</v>
      </c>
      <c r="I9">
        <f t="shared" si="1"/>
        <v>0.72015355684685911</v>
      </c>
      <c r="J9">
        <f t="shared" si="2"/>
        <v>17686.949455293179</v>
      </c>
      <c r="K9">
        <f t="shared" si="3"/>
        <v>0.81197984063340245</v>
      </c>
      <c r="L9">
        <f t="shared" si="4"/>
        <v>3.404762183127084</v>
      </c>
      <c r="M9" s="3">
        <f t="shared" si="5"/>
        <v>129.29363882740779</v>
      </c>
      <c r="N9">
        <f t="shared" si="6"/>
        <v>37.974352355105992</v>
      </c>
      <c r="O9">
        <f t="shared" si="7"/>
        <v>14361.446400000001</v>
      </c>
      <c r="P9">
        <f t="shared" si="8"/>
        <v>12737.31956</v>
      </c>
      <c r="Q9">
        <f t="shared" si="9"/>
        <v>0.49364069960209112</v>
      </c>
      <c r="R9" s="4">
        <f t="shared" si="10"/>
        <v>6.1046138980080125</v>
      </c>
      <c r="S9" s="5">
        <f t="shared" si="17"/>
        <v>0.84688646171020299</v>
      </c>
      <c r="T9" s="9">
        <f t="shared" si="18"/>
        <v>1.7077109216808752</v>
      </c>
      <c r="U9">
        <f t="shared" si="19"/>
        <v>0.86082445997067225</v>
      </c>
      <c r="V9">
        <f t="shared" si="20"/>
        <v>1.1116559177009142</v>
      </c>
      <c r="W9">
        <f t="shared" si="11"/>
        <v>0.23244092456715323</v>
      </c>
      <c r="X9">
        <f t="shared" si="12"/>
        <v>11.349189844450631</v>
      </c>
      <c r="Y9">
        <f t="shared" si="13"/>
        <v>3.8880308475475811</v>
      </c>
      <c r="Z9">
        <f t="shared" si="14"/>
        <v>4.154022729306627</v>
      </c>
      <c r="AA9">
        <f t="shared" si="15"/>
        <v>-3.3071362675964235</v>
      </c>
      <c r="AB9">
        <f t="shared" si="21"/>
        <v>7.4611589969030501</v>
      </c>
      <c r="AC9" s="1">
        <f t="shared" si="22"/>
        <v>4.6332893384414193</v>
      </c>
      <c r="AD9" s="1">
        <f t="shared" si="23"/>
        <v>-2.9255784167605436</v>
      </c>
      <c r="AE9" s="5">
        <f t="shared" si="16"/>
        <v>0.84688646171020343</v>
      </c>
      <c r="AF9" s="9">
        <f t="shared" si="24"/>
        <v>1.7077109216808757</v>
      </c>
    </row>
    <row r="10" spans="1:32" x14ac:dyDescent="0.45">
      <c r="A10">
        <v>2008</v>
      </c>
      <c r="B10" s="1">
        <v>12007.476208</v>
      </c>
      <c r="C10" s="1">
        <v>6.3273383084577102</v>
      </c>
      <c r="D10" s="1">
        <v>13680.77368</v>
      </c>
      <c r="G10">
        <v>2008</v>
      </c>
      <c r="H10">
        <f t="shared" si="0"/>
        <v>6.3273383084577102</v>
      </c>
      <c r="I10">
        <f t="shared" si="1"/>
        <v>0.73078970484863404</v>
      </c>
      <c r="J10">
        <f t="shared" si="2"/>
        <v>16430.822886985068</v>
      </c>
      <c r="K10">
        <f t="shared" si="3"/>
        <v>0.83262863790203745</v>
      </c>
      <c r="L10">
        <f t="shared" si="4"/>
        <v>2.9371983092250211</v>
      </c>
      <c r="M10" s="3">
        <f t="shared" si="5"/>
        <v>111.53820353133251</v>
      </c>
      <c r="N10">
        <f t="shared" si="6"/>
        <v>37.974352355105992</v>
      </c>
      <c r="O10">
        <f t="shared" si="7"/>
        <v>13680.77368</v>
      </c>
      <c r="P10">
        <f t="shared" si="8"/>
        <v>12007.476208</v>
      </c>
      <c r="Q10">
        <f t="shared" si="9"/>
        <v>0.46420756501970056</v>
      </c>
      <c r="R10" s="4">
        <f t="shared" si="10"/>
        <v>5.529337794415178</v>
      </c>
      <c r="S10" s="5">
        <f t="shared" si="17"/>
        <v>-0.57527610359283443</v>
      </c>
      <c r="T10" s="9">
        <f t="shared" si="18"/>
        <v>-0.56990939796430951</v>
      </c>
      <c r="U10">
        <f t="shared" si="19"/>
        <v>5.3667056285249259E-3</v>
      </c>
      <c r="V10">
        <f t="shared" si="20"/>
        <v>0.34887348169160709</v>
      </c>
      <c r="W10">
        <f t="shared" si="11"/>
        <v>0.65683337709075496</v>
      </c>
      <c r="X10">
        <f t="shared" si="12"/>
        <v>4.6314664525347302</v>
      </c>
      <c r="Y10">
        <f t="shared" si="13"/>
        <v>7.0289222309866686</v>
      </c>
      <c r="Z10">
        <f t="shared" si="14"/>
        <v>-1.4863659410223864</v>
      </c>
      <c r="AA10">
        <f t="shared" si="15"/>
        <v>0.91108983742955196</v>
      </c>
      <c r="AB10">
        <f t="shared" si="21"/>
        <v>2.3974557784519384</v>
      </c>
      <c r="AC10" s="1">
        <f t="shared" si="22"/>
        <v>-1.4830387103249829</v>
      </c>
      <c r="AD10" s="1">
        <f t="shared" si="23"/>
        <v>0.91312931236067341</v>
      </c>
      <c r="AE10" s="5">
        <f t="shared" si="16"/>
        <v>-0.57527610359283443</v>
      </c>
      <c r="AF10" s="9">
        <f t="shared" si="24"/>
        <v>-0.56990939796430951</v>
      </c>
    </row>
    <row r="11" spans="1:32" x14ac:dyDescent="0.45">
      <c r="A11" s="6">
        <v>2009</v>
      </c>
      <c r="B11" s="1">
        <v>13040.925576</v>
      </c>
      <c r="C11" s="1">
        <v>5.4311965811965814</v>
      </c>
      <c r="D11" s="1">
        <v>14748.709416</v>
      </c>
      <c r="G11" s="6">
        <v>2009</v>
      </c>
      <c r="H11">
        <f t="shared" si="0"/>
        <v>5.4311965811965814</v>
      </c>
      <c r="I11">
        <f t="shared" si="1"/>
        <v>0.75001122142016552</v>
      </c>
      <c r="J11">
        <f>B11/I11</f>
        <v>17387.640615971948</v>
      </c>
      <c r="K11">
        <f t="shared" si="3"/>
        <v>0.84822948332921733</v>
      </c>
      <c r="L11">
        <f t="shared" si="4"/>
        <v>2.6333562996645581</v>
      </c>
      <c r="M11" s="3">
        <f t="shared" si="5"/>
        <v>100</v>
      </c>
      <c r="N11">
        <f t="shared" si="6"/>
        <v>37.974352355105992</v>
      </c>
      <c r="O11">
        <f t="shared" si="7"/>
        <v>14748.709416</v>
      </c>
      <c r="P11">
        <f t="shared" si="8"/>
        <v>13040.925576</v>
      </c>
      <c r="Q11">
        <f t="shared" si="9"/>
        <v>0.48485748219490687</v>
      </c>
      <c r="R11" s="4">
        <f t="shared" si="10"/>
        <v>5.1555000000000035</v>
      </c>
      <c r="S11" s="5">
        <f t="shared" si="17"/>
        <v>-0.37383779441517451</v>
      </c>
      <c r="T11" s="9">
        <f t="shared" si="18"/>
        <v>-0.89614172726112873</v>
      </c>
      <c r="U11">
        <f t="shared" si="19"/>
        <v>-0.52230393284595422</v>
      </c>
      <c r="V11">
        <f t="shared" si="20"/>
        <v>0.75445591947001145</v>
      </c>
      <c r="W11">
        <f t="shared" si="11"/>
        <v>0.29832692060974242</v>
      </c>
      <c r="X11">
        <f t="shared" si="12"/>
        <v>6.9570581255281221</v>
      </c>
      <c r="Y11">
        <f t="shared" si="13"/>
        <v>3.9090326529353492</v>
      </c>
      <c r="Z11">
        <f t="shared" si="14"/>
        <v>1.3370938390887992</v>
      </c>
      <c r="AA11">
        <f t="shared" si="15"/>
        <v>-1.7109316335039737</v>
      </c>
      <c r="AB11">
        <f t="shared" si="21"/>
        <v>3.0480254725927729</v>
      </c>
      <c r="AC11" s="1">
        <f t="shared" si="22"/>
        <v>1.1079719445968499</v>
      </c>
      <c r="AD11" s="1">
        <f t="shared" si="23"/>
        <v>-2.0041136718579784</v>
      </c>
      <c r="AE11" s="5">
        <f t="shared" si="16"/>
        <v>-0.37383779441517451</v>
      </c>
      <c r="AF11" s="9">
        <f t="shared" si="24"/>
        <v>-0.89614172726112851</v>
      </c>
    </row>
    <row r="12" spans="1:32" x14ac:dyDescent="0.45">
      <c r="A12">
        <v>2010</v>
      </c>
      <c r="B12" s="1">
        <v>13033.051976000001</v>
      </c>
      <c r="C12" s="1">
        <v>7.8673212121212126</v>
      </c>
      <c r="D12" s="1">
        <v>14160.708968000001</v>
      </c>
      <c r="G12">
        <v>2010</v>
      </c>
      <c r="H12">
        <f t="shared" si="0"/>
        <v>7.8673212121212126</v>
      </c>
      <c r="I12">
        <f t="shared" si="1"/>
        <v>0.70422174324276599</v>
      </c>
      <c r="J12">
        <f t="shared" si="2"/>
        <v>18507.028646951509</v>
      </c>
      <c r="K12">
        <f t="shared" si="3"/>
        <v>0.76515302581176714</v>
      </c>
      <c r="L12">
        <f t="shared" si="4"/>
        <v>4.8287367484821173</v>
      </c>
      <c r="M12" s="3">
        <f t="shared" si="5"/>
        <v>183.36815071690873</v>
      </c>
      <c r="N12">
        <f t="shared" si="6"/>
        <v>37.974352355105992</v>
      </c>
      <c r="O12">
        <f t="shared" si="7"/>
        <v>14160.708968000001</v>
      </c>
      <c r="P12">
        <f t="shared" si="8"/>
        <v>13033.051976000001</v>
      </c>
      <c r="Q12">
        <f t="shared" si="9"/>
        <v>0.61377139922067336</v>
      </c>
      <c r="R12" s="4">
        <f t="shared" si="10"/>
        <v>7.8566280832278474</v>
      </c>
      <c r="S12" s="5">
        <f t="shared" si="17"/>
        <v>2.7011280832278439</v>
      </c>
      <c r="T12" s="9">
        <f t="shared" si="18"/>
        <v>2.4361246309246312</v>
      </c>
      <c r="U12">
        <f t="shared" si="19"/>
        <v>-0.26500345230321276</v>
      </c>
      <c r="V12">
        <f t="shared" si="20"/>
        <v>0.48313803026302354</v>
      </c>
      <c r="W12">
        <f t="shared" si="11"/>
        <v>0.61595576549287567</v>
      </c>
      <c r="X12">
        <f t="shared" si="12"/>
        <v>6.5921351826032639</v>
      </c>
      <c r="Y12">
        <f t="shared" si="13"/>
        <v>7.8777721114773147</v>
      </c>
      <c r="Z12">
        <f t="shared" si="14"/>
        <v>0.70774557717689657</v>
      </c>
      <c r="AA12">
        <f t="shared" si="15"/>
        <v>1.9933825060509474</v>
      </c>
      <c r="AB12">
        <f t="shared" si="21"/>
        <v>2.7011280832278439</v>
      </c>
      <c r="AC12" s="1">
        <f t="shared" si="22"/>
        <v>0.63830976535116501</v>
      </c>
      <c r="AD12" s="1">
        <f t="shared" si="23"/>
        <v>1.797814865573466</v>
      </c>
      <c r="AE12" s="5">
        <f t="shared" si="16"/>
        <v>2.7011280832278439</v>
      </c>
      <c r="AF12" s="9">
        <f t="shared" si="24"/>
        <v>2.4361246309246312</v>
      </c>
    </row>
    <row r="13" spans="1:32" x14ac:dyDescent="0.45">
      <c r="A13">
        <v>2011</v>
      </c>
      <c r="B13" s="1">
        <v>12481.899976000001</v>
      </c>
      <c r="C13" s="1">
        <v>9.1153918128654965</v>
      </c>
      <c r="D13" s="1">
        <v>13470.902872000001</v>
      </c>
      <c r="G13">
        <v>2011</v>
      </c>
      <c r="H13">
        <f t="shared" si="0"/>
        <v>9.1153918128654965</v>
      </c>
      <c r="I13">
        <f t="shared" si="1"/>
        <v>0.68681250207020872</v>
      </c>
      <c r="J13">
        <f t="shared" si="2"/>
        <v>18173.664483940993</v>
      </c>
      <c r="K13">
        <f t="shared" si="3"/>
        <v>0.74123206598776226</v>
      </c>
      <c r="L13">
        <f t="shared" si="4"/>
        <v>5.8207011382411347</v>
      </c>
      <c r="M13" s="3">
        <f t="shared" si="5"/>
        <v>221.03735597733535</v>
      </c>
      <c r="N13">
        <f t="shared" si="6"/>
        <v>37.974352355105992</v>
      </c>
      <c r="O13">
        <f t="shared" si="7"/>
        <v>13470.902872000001</v>
      </c>
      <c r="P13">
        <f t="shared" si="8"/>
        <v>12481.899976000001</v>
      </c>
      <c r="Q13">
        <f t="shared" si="9"/>
        <v>0.63855742657444214</v>
      </c>
      <c r="R13" s="4">
        <f t="shared" si="10"/>
        <v>9.0771103336656598</v>
      </c>
      <c r="S13" s="5">
        <f t="shared" si="17"/>
        <v>1.2204822504378123</v>
      </c>
      <c r="T13" s="9">
        <f t="shared" si="18"/>
        <v>1.2480706007442839</v>
      </c>
      <c r="U13">
        <f t="shared" si="19"/>
        <v>2.7588350306471554E-2</v>
      </c>
      <c r="V13">
        <f t="shared" si="20"/>
        <v>0.47601623986880298</v>
      </c>
      <c r="W13">
        <f t="shared" si="11"/>
        <v>0.82335065984170785</v>
      </c>
      <c r="X13">
        <f t="shared" si="12"/>
        <v>7.2541628681542223</v>
      </c>
      <c r="Y13">
        <f t="shared" si="13"/>
        <v>11.149621080362074</v>
      </c>
      <c r="Z13">
        <f t="shared" si="14"/>
        <v>-1.3374879808850197</v>
      </c>
      <c r="AA13">
        <f t="shared" si="15"/>
        <v>2.5579702313228321</v>
      </c>
      <c r="AB13">
        <f t="shared" si="21"/>
        <v>3.8954582122078518</v>
      </c>
      <c r="AC13" s="1">
        <f t="shared" si="22"/>
        <v>-1.3280156454273542</v>
      </c>
      <c r="AD13" s="1">
        <f t="shared" si="23"/>
        <v>2.5760862461716378</v>
      </c>
      <c r="AE13" s="5">
        <f t="shared" si="16"/>
        <v>1.2204822504378123</v>
      </c>
      <c r="AF13" s="9">
        <f t="shared" si="24"/>
        <v>1.2480706007442837</v>
      </c>
    </row>
    <row r="14" spans="1:32" x14ac:dyDescent="0.45">
      <c r="A14">
        <v>2012</v>
      </c>
      <c r="B14" s="1">
        <v>11082.800624</v>
      </c>
      <c r="C14" s="1">
        <v>9.8552168949771701</v>
      </c>
      <c r="D14" s="1">
        <v>11903.977736000001</v>
      </c>
      <c r="G14" s="8">
        <v>2012</v>
      </c>
      <c r="H14" s="8">
        <f t="shared" si="0"/>
        <v>9.8552168949771701</v>
      </c>
      <c r="I14" s="8">
        <f t="shared" si="1"/>
        <v>0.6777612705854319</v>
      </c>
      <c r="J14" s="8">
        <f t="shared" si="2"/>
        <v>16352.071304438767</v>
      </c>
      <c r="K14" s="8">
        <f t="shared" si="3"/>
        <v>0.72797980845207466</v>
      </c>
      <c r="L14" s="8">
        <f t="shared" si="4"/>
        <v>6.4723611573575628</v>
      </c>
      <c r="M14" s="8">
        <f t="shared" si="5"/>
        <v>245.78372315899767</v>
      </c>
      <c r="N14" s="8">
        <f t="shared" si="6"/>
        <v>37.974352355105992</v>
      </c>
      <c r="O14" s="8">
        <f t="shared" si="7"/>
        <v>11903.977736000001</v>
      </c>
      <c r="P14" s="8">
        <f t="shared" si="8"/>
        <v>11082.800624</v>
      </c>
      <c r="Q14">
        <f t="shared" si="9"/>
        <v>0.6567446689738794</v>
      </c>
      <c r="R14" s="4">
        <f t="shared" si="10"/>
        <v>9.8788926303515296</v>
      </c>
      <c r="S14" s="5">
        <f t="shared" si="17"/>
        <v>0.80178229668586987</v>
      </c>
      <c r="T14" s="9">
        <f t="shared" si="18"/>
        <v>0.73982508211167364</v>
      </c>
      <c r="U14">
        <f t="shared" si="19"/>
        <v>-6.1957214574196229E-2</v>
      </c>
      <c r="V14">
        <f t="shared" si="20"/>
        <v>0.31731247836679527</v>
      </c>
      <c r="W14">
        <f t="shared" si="11"/>
        <v>1.3216284083592749</v>
      </c>
      <c r="X14">
        <f t="shared" si="12"/>
        <v>5.763089437905613</v>
      </c>
      <c r="Y14">
        <f t="shared" si="13"/>
        <v>17.940975994552865</v>
      </c>
      <c r="Z14">
        <f t="shared" si="14"/>
        <v>-5.688052129980691</v>
      </c>
      <c r="AA14">
        <f t="shared" si="15"/>
        <v>6.4898344266665609</v>
      </c>
      <c r="AB14">
        <f t="shared" si="21"/>
        <v>12.177886556647252</v>
      </c>
      <c r="AC14" s="1">
        <f t="shared" si="22"/>
        <v>-5.7169911305771501</v>
      </c>
      <c r="AD14" s="1">
        <f t="shared" si="23"/>
        <v>6.4568162126888238</v>
      </c>
      <c r="AE14" s="5">
        <f t="shared" si="16"/>
        <v>0.80178229668586987</v>
      </c>
      <c r="AF14" s="9">
        <f t="shared" si="24"/>
        <v>0.73982508211167364</v>
      </c>
    </row>
    <row r="15" spans="1:32" x14ac:dyDescent="0.45">
      <c r="A15">
        <v>2013</v>
      </c>
      <c r="B15" s="1">
        <v>13455.667455999999</v>
      </c>
      <c r="C15" s="1">
        <v>6.2861417322834638</v>
      </c>
      <c r="D15" s="1">
        <v>14687.570911999999</v>
      </c>
      <c r="G15">
        <v>2013</v>
      </c>
      <c r="H15">
        <f t="shared" si="0"/>
        <v>6.2861417322834638</v>
      </c>
      <c r="I15">
        <f t="shared" si="1"/>
        <v>0.7316016753256972</v>
      </c>
      <c r="J15">
        <f t="shared" si="2"/>
        <v>18392.067582417378</v>
      </c>
      <c r="K15">
        <f t="shared" si="3"/>
        <v>0.79858182589765825</v>
      </c>
      <c r="L15">
        <f t="shared" si="4"/>
        <v>3.7548417097366378</v>
      </c>
      <c r="M15" s="3">
        <f t="shared" si="5"/>
        <v>142.58768212318768</v>
      </c>
      <c r="N15">
        <f t="shared" si="6"/>
        <v>37.974352355105992</v>
      </c>
      <c r="O15">
        <f t="shared" si="7"/>
        <v>14687.570911999999</v>
      </c>
      <c r="P15">
        <f t="shared" si="8"/>
        <v>13455.667455999999</v>
      </c>
      <c r="Q15">
        <f t="shared" si="9"/>
        <v>0.59732056158598246</v>
      </c>
      <c r="R15" s="4">
        <f t="shared" si="10"/>
        <v>6.535340900791283</v>
      </c>
      <c r="S15" s="5">
        <f t="shared" si="17"/>
        <v>-3.3435517295602466</v>
      </c>
      <c r="T15" s="9">
        <f t="shared" si="18"/>
        <v>-3.5690751626937063</v>
      </c>
      <c r="U15">
        <f t="shared" si="19"/>
        <v>-0.22552343313345968</v>
      </c>
      <c r="V15">
        <f t="shared" si="20"/>
        <v>2.055978020325409</v>
      </c>
      <c r="W15">
        <f t="shared" si="11"/>
        <v>0.19080315577886797</v>
      </c>
      <c r="X15">
        <f t="shared" si="12"/>
        <v>17.816997387278484</v>
      </c>
      <c r="Y15">
        <f t="shared" si="13"/>
        <v>3.3912238905802816</v>
      </c>
      <c r="Z15">
        <f t="shared" si="14"/>
        <v>5.5411108835689777</v>
      </c>
      <c r="AA15">
        <f t="shared" si="15"/>
        <v>-8.8846626131292243</v>
      </c>
      <c r="AB15">
        <f t="shared" si="21"/>
        <v>14.425773496698202</v>
      </c>
      <c r="AC15" s="1">
        <f t="shared" si="22"/>
        <v>5.4544846551645403</v>
      </c>
      <c r="AD15" s="1">
        <f t="shared" si="23"/>
        <v>-9.0235598178582475</v>
      </c>
      <c r="AE15" s="5">
        <f t="shared" si="16"/>
        <v>-3.3435517295602466</v>
      </c>
      <c r="AF15" s="9">
        <f t="shared" si="24"/>
        <v>-3.5690751626937072</v>
      </c>
    </row>
    <row r="16" spans="1:32" x14ac:dyDescent="0.45">
      <c r="A16">
        <v>2014</v>
      </c>
      <c r="B16" s="1">
        <v>13749.588943999999</v>
      </c>
      <c r="C16" s="1">
        <v>5.1002200220022011</v>
      </c>
      <c r="D16" s="1">
        <v>15480.757376</v>
      </c>
      <c r="G16">
        <v>2014</v>
      </c>
      <c r="H16">
        <f t="shared" si="0"/>
        <v>5.1002200220022011</v>
      </c>
      <c r="I16">
        <f t="shared" si="1"/>
        <v>0.75807100342453371</v>
      </c>
      <c r="J16">
        <f t="shared" si="2"/>
        <v>18137.60041194977</v>
      </c>
      <c r="K16">
        <f t="shared" si="3"/>
        <v>0.85351739063567988</v>
      </c>
      <c r="L16">
        <f t="shared" si="4"/>
        <v>2.538826903165897</v>
      </c>
      <c r="M16" s="3">
        <f t="shared" si="5"/>
        <v>96.410307389444327</v>
      </c>
      <c r="N16">
        <f t="shared" si="6"/>
        <v>37.974352355105992</v>
      </c>
      <c r="O16">
        <f t="shared" si="7"/>
        <v>15480.757376</v>
      </c>
      <c r="P16">
        <f t="shared" si="8"/>
        <v>13749.588943999999</v>
      </c>
      <c r="Q16">
        <f t="shared" si="9"/>
        <v>0.49778772135583815</v>
      </c>
      <c r="R16" s="4">
        <f t="shared" si="10"/>
        <v>5.0391939594179975</v>
      </c>
      <c r="S16" s="5">
        <f t="shared" si="17"/>
        <v>-1.4961469413732855</v>
      </c>
      <c r="T16" s="9">
        <f t="shared" si="18"/>
        <v>-1.1859217102812627</v>
      </c>
      <c r="U16">
        <f t="shared" si="19"/>
        <v>0.31022523109202282</v>
      </c>
      <c r="V16">
        <f t="shared" si="20"/>
        <v>0.67828189607636669</v>
      </c>
      <c r="W16">
        <f t="shared" si="11"/>
        <v>0.43837059929047356</v>
      </c>
      <c r="X16">
        <f t="shared" si="12"/>
        <v>6.1718224656997327</v>
      </c>
      <c r="Y16">
        <f t="shared" si="13"/>
        <v>4.6663424459735623</v>
      </c>
      <c r="Z16">
        <f t="shared" si="14"/>
        <v>4.6665391764424413E-3</v>
      </c>
      <c r="AA16">
        <f t="shared" si="15"/>
        <v>-1.500813480549728</v>
      </c>
      <c r="AB16">
        <f t="shared" si="21"/>
        <v>1.5054800197261704</v>
      </c>
      <c r="AC16" s="1">
        <f t="shared" si="22"/>
        <v>5.628144893850202E-3</v>
      </c>
      <c r="AD16" s="1">
        <f t="shared" si="23"/>
        <v>-1.1915498551751129</v>
      </c>
      <c r="AE16" s="5">
        <f t="shared" si="16"/>
        <v>-1.4961469413732855</v>
      </c>
      <c r="AF16" s="9">
        <f t="shared" si="24"/>
        <v>-1.1859217102812627</v>
      </c>
    </row>
    <row r="17" spans="1:32" x14ac:dyDescent="0.45">
      <c r="A17">
        <v>2015</v>
      </c>
      <c r="B17" s="1">
        <v>13663.569863999999</v>
      </c>
      <c r="C17" s="1">
        <v>4.8848056155507571</v>
      </c>
      <c r="D17" s="1">
        <v>15400.604128000001</v>
      </c>
      <c r="G17">
        <v>2015</v>
      </c>
      <c r="H17">
        <f t="shared" si="0"/>
        <v>4.8848056155507571</v>
      </c>
      <c r="I17">
        <f t="shared" si="1"/>
        <v>0.76365282262712231</v>
      </c>
      <c r="J17">
        <f t="shared" si="2"/>
        <v>17892.384417561003</v>
      </c>
      <c r="K17">
        <f t="shared" si="3"/>
        <v>0.8607351467859492</v>
      </c>
      <c r="L17">
        <f t="shared" si="4"/>
        <v>2.4161304025746473</v>
      </c>
      <c r="M17" s="3">
        <f t="shared" si="5"/>
        <v>91.750987243253732</v>
      </c>
      <c r="N17">
        <f t="shared" si="6"/>
        <v>37.974352355105992</v>
      </c>
      <c r="O17">
        <f t="shared" si="7"/>
        <v>15400.604128000001</v>
      </c>
      <c r="P17">
        <f t="shared" si="8"/>
        <v>13663.569863999999</v>
      </c>
      <c r="Q17">
        <f t="shared" si="9"/>
        <v>0.49462160682154965</v>
      </c>
      <c r="R17" s="4">
        <f t="shared" si="10"/>
        <v>4.8882319866814177</v>
      </c>
      <c r="S17" s="5">
        <f t="shared" si="17"/>
        <v>-0.15096197273657985</v>
      </c>
      <c r="T17" s="9">
        <f t="shared" si="18"/>
        <v>-0.21541440645144405</v>
      </c>
      <c r="U17">
        <f t="shared" si="19"/>
        <v>-6.4452433714864199E-2</v>
      </c>
      <c r="V17">
        <f t="shared" si="20"/>
        <v>0.47974629881536518</v>
      </c>
      <c r="W17">
        <f t="shared" si="11"/>
        <v>0.51322243277549773</v>
      </c>
      <c r="X17">
        <f t="shared" si="12"/>
        <v>4.7988296975135754</v>
      </c>
      <c r="Y17">
        <f t="shared" si="13"/>
        <v>5.0000250614872757</v>
      </c>
      <c r="Z17">
        <f t="shared" si="14"/>
        <v>-0.17607866835514008</v>
      </c>
      <c r="AA17">
        <f t="shared" si="15"/>
        <v>2.5116695618560225E-2</v>
      </c>
      <c r="AB17">
        <f t="shared" si="21"/>
        <v>0.2011953639737003</v>
      </c>
      <c r="AC17" s="1">
        <f t="shared" si="22"/>
        <v>-0.23248503118885175</v>
      </c>
      <c r="AD17" s="1">
        <f t="shared" si="23"/>
        <v>1.7070624737407704E-2</v>
      </c>
      <c r="AE17" s="5">
        <f t="shared" si="16"/>
        <v>-0.15096197273657985</v>
      </c>
      <c r="AF17" s="9">
        <f t="shared" si="24"/>
        <v>-0.21541440645144405</v>
      </c>
    </row>
    <row r="18" spans="1:32" x14ac:dyDescent="0.45">
      <c r="A18">
        <v>2016</v>
      </c>
      <c r="B18" s="1">
        <v>14648.754064000001</v>
      </c>
      <c r="C18" s="1">
        <v>4.5318406889128093</v>
      </c>
      <c r="D18" s="1">
        <v>16942.058168</v>
      </c>
      <c r="G18">
        <v>2016</v>
      </c>
      <c r="H18">
        <f t="shared" si="0"/>
        <v>4.5318406889128093</v>
      </c>
      <c r="I18">
        <f t="shared" si="1"/>
        <v>0.77345190268138531</v>
      </c>
      <c r="J18">
        <f t="shared" si="2"/>
        <v>18939.450550468668</v>
      </c>
      <c r="K18">
        <f t="shared" si="3"/>
        <v>0.89453799743840823</v>
      </c>
      <c r="L18">
        <f t="shared" si="4"/>
        <v>1.9262514692192405</v>
      </c>
      <c r="M18" s="3">
        <f t="shared" si="5"/>
        <v>73.148152016672043</v>
      </c>
      <c r="N18">
        <f t="shared" si="6"/>
        <v>37.974352355105992</v>
      </c>
      <c r="O18">
        <f t="shared" si="7"/>
        <v>16942.058168</v>
      </c>
      <c r="P18">
        <f t="shared" si="8"/>
        <v>14648.754064000001</v>
      </c>
      <c r="Q18">
        <f t="shared" si="9"/>
        <v>0.42504836366640913</v>
      </c>
      <c r="R18" s="4">
        <f t="shared" si="10"/>
        <v>4.2855001253401754</v>
      </c>
      <c r="S18" s="5">
        <f t="shared" si="17"/>
        <v>-0.60273186134124224</v>
      </c>
      <c r="T18" s="9">
        <f t="shared" si="18"/>
        <v>-0.35296492663794776</v>
      </c>
      <c r="U18">
        <f t="shared" si="19"/>
        <v>0.24976693470329447</v>
      </c>
      <c r="V18">
        <f t="shared" si="20"/>
        <v>0.74496331001213123</v>
      </c>
      <c r="W18">
        <f t="shared" si="11"/>
        <v>0.28221269663619564</v>
      </c>
      <c r="X18">
        <f t="shared" si="12"/>
        <v>6.0692935186318016</v>
      </c>
      <c r="Y18">
        <f t="shared" si="13"/>
        <v>3.4890718181126839</v>
      </c>
      <c r="Z18">
        <f t="shared" si="14"/>
        <v>0.98874491958893773</v>
      </c>
      <c r="AA18">
        <f t="shared" si="15"/>
        <v>-1.59147678093018</v>
      </c>
      <c r="AB18">
        <f t="shared" si="21"/>
        <v>2.5802217005191177</v>
      </c>
      <c r="AC18" s="1">
        <f t="shared" si="22"/>
        <v>1.084455992679866</v>
      </c>
      <c r="AD18" s="1">
        <f t="shared" si="23"/>
        <v>-1.4374209193178138</v>
      </c>
      <c r="AE18" s="5">
        <f t="shared" si="16"/>
        <v>-0.60273186134124224</v>
      </c>
      <c r="AF18" s="9">
        <f t="shared" si="24"/>
        <v>-0.35296492663794776</v>
      </c>
    </row>
    <row r="19" spans="1:32" x14ac:dyDescent="0.45">
      <c r="A19">
        <v>2017</v>
      </c>
      <c r="B19" s="1">
        <v>14798.313096</v>
      </c>
      <c r="C19" s="1">
        <v>4.4931483457844186</v>
      </c>
      <c r="D19" s="1">
        <v>16938.633151999999</v>
      </c>
      <c r="G19">
        <v>2017</v>
      </c>
      <c r="H19">
        <f t="shared" si="0"/>
        <v>4.4931483457844186</v>
      </c>
      <c r="I19">
        <f t="shared" si="1"/>
        <v>0.77458016427697352</v>
      </c>
      <c r="J19">
        <f t="shared" si="2"/>
        <v>19104.947142318553</v>
      </c>
      <c r="K19">
        <f t="shared" si="3"/>
        <v>0.88660978885829811</v>
      </c>
      <c r="L19">
        <f t="shared" si="4"/>
        <v>2.0298117085255645</v>
      </c>
      <c r="M19" s="3">
        <f t="shared" si="5"/>
        <v>77.080785034069478</v>
      </c>
      <c r="N19">
        <f t="shared" si="6"/>
        <v>37.974352355105992</v>
      </c>
      <c r="O19">
        <f t="shared" si="7"/>
        <v>16938.633151999999</v>
      </c>
      <c r="P19">
        <f t="shared" si="8"/>
        <v>14798.313096</v>
      </c>
      <c r="Q19">
        <f t="shared" si="9"/>
        <v>0.45175710933959773</v>
      </c>
      <c r="R19" s="4">
        <f t="shared" si="10"/>
        <v>4.4129174351038509</v>
      </c>
      <c r="S19" s="5">
        <f t="shared" si="17"/>
        <v>0.12741730976367549</v>
      </c>
      <c r="T19" s="9">
        <f t="shared" si="18"/>
        <v>-3.869234312839076E-2</v>
      </c>
      <c r="U19">
        <f t="shared" si="19"/>
        <v>-0.16610965289206625</v>
      </c>
      <c r="V19">
        <f t="shared" si="20"/>
        <v>0.45122015397548704</v>
      </c>
      <c r="W19">
        <f t="shared" si="11"/>
        <v>0.42555417440395321</v>
      </c>
      <c r="X19">
        <f t="shared" si="12"/>
        <v>4.4099490220772957</v>
      </c>
      <c r="Y19">
        <f t="shared" si="13"/>
        <v>4.2680615707327654</v>
      </c>
      <c r="Z19">
        <f t="shared" si="14"/>
        <v>0.13465238055410289</v>
      </c>
      <c r="AA19">
        <f t="shared" si="15"/>
        <v>-7.2350707904274003E-3</v>
      </c>
      <c r="AB19">
        <f t="shared" si="21"/>
        <v>0.14188745134453029</v>
      </c>
      <c r="AC19" s="1">
        <f t="shared" si="22"/>
        <v>-2.2987072286732718E-2</v>
      </c>
      <c r="AD19" s="1">
        <f t="shared" si="23"/>
        <v>-1.5705270841658021E-2</v>
      </c>
      <c r="AE19" s="5">
        <f t="shared" si="16"/>
        <v>0.12741730976367549</v>
      </c>
      <c r="AF19" s="9">
        <f t="shared" si="24"/>
        <v>-3.869234312839074E-2</v>
      </c>
    </row>
    <row r="20" spans="1:32" x14ac:dyDescent="0.45">
      <c r="A20">
        <v>2018</v>
      </c>
      <c r="B20" s="1">
        <v>14252.830088000001</v>
      </c>
      <c r="C20" s="1">
        <v>4.7614000000000001</v>
      </c>
      <c r="D20" s="1">
        <v>16489.837952000002</v>
      </c>
      <c r="G20" s="8">
        <v>2018</v>
      </c>
      <c r="H20" s="8">
        <f t="shared" si="0"/>
        <v>4.7614000000000001</v>
      </c>
      <c r="I20" s="8">
        <f t="shared" si="1"/>
        <v>0.76698188472089623</v>
      </c>
      <c r="J20" s="8">
        <f t="shared" si="2"/>
        <v>18583.007463320449</v>
      </c>
      <c r="K20" s="8">
        <f t="shared" si="3"/>
        <v>0.88736110043264027</v>
      </c>
      <c r="L20" s="8">
        <f t="shared" si="4"/>
        <v>2.0197231541551934</v>
      </c>
      <c r="M20" s="8">
        <f t="shared" si="5"/>
        <v>76.697678715655371</v>
      </c>
      <c r="N20" s="8">
        <f t="shared" si="6"/>
        <v>37.974352355105992</v>
      </c>
      <c r="O20" s="8">
        <f t="shared" si="7"/>
        <v>16489.837952000002</v>
      </c>
      <c r="P20" s="8">
        <f t="shared" si="8"/>
        <v>14252.830088000001</v>
      </c>
      <c r="Q20">
        <f t="shared" si="9"/>
        <v>0.42418682617616543</v>
      </c>
      <c r="R20" s="4">
        <f t="shared" si="10"/>
        <v>4.4005047903872345</v>
      </c>
      <c r="S20" s="5">
        <f t="shared" si="17"/>
        <v>-1.2412644716616406E-2</v>
      </c>
      <c r="T20" s="9">
        <f t="shared" si="18"/>
        <v>0.2682516542155815</v>
      </c>
      <c r="U20">
        <f t="shared" si="19"/>
        <v>0.28066429893219791</v>
      </c>
      <c r="V20">
        <f t="shared" si="20"/>
        <v>0.36220740599578677</v>
      </c>
      <c r="W20">
        <f t="shared" si="11"/>
        <v>0.5290599011537388</v>
      </c>
      <c r="X20">
        <f t="shared" si="12"/>
        <v>4.0374120525903754</v>
      </c>
      <c r="Y20">
        <f t="shared" si="13"/>
        <v>5.0148805267842853</v>
      </c>
      <c r="Z20">
        <f t="shared" si="14"/>
        <v>-0.49494055945526316</v>
      </c>
      <c r="AA20">
        <f t="shared" si="15"/>
        <v>0.48252791473864676</v>
      </c>
      <c r="AB20">
        <f t="shared" si="21"/>
        <v>0.97746847419390992</v>
      </c>
      <c r="AC20" s="1">
        <f t="shared" si="22"/>
        <v>-0.35282636467555112</v>
      </c>
      <c r="AD20" s="1">
        <f t="shared" si="23"/>
        <v>0.62107801889113268</v>
      </c>
      <c r="AE20" s="5">
        <f t="shared" si="16"/>
        <v>-1.2412644716616406E-2</v>
      </c>
      <c r="AF20" s="9">
        <f t="shared" si="24"/>
        <v>0.26825165421558156</v>
      </c>
    </row>
    <row r="21" spans="1:32" x14ac:dyDescent="0.45">
      <c r="A21">
        <v>2019</v>
      </c>
      <c r="B21" s="1">
        <v>13842.772999999999</v>
      </c>
      <c r="C21" s="1">
        <v>4.6081404958677696</v>
      </c>
      <c r="D21" s="1">
        <v>15847.115984</v>
      </c>
      <c r="G21">
        <v>2019</v>
      </c>
      <c r="H21">
        <f t="shared" si="0"/>
        <v>4.6081404958677696</v>
      </c>
      <c r="I21">
        <f t="shared" si="1"/>
        <v>0.77125968205589723</v>
      </c>
      <c r="J21">
        <f t="shared" si="2"/>
        <v>17948.264795976644</v>
      </c>
      <c r="K21">
        <f t="shared" si="3"/>
        <v>0.88293303916222332</v>
      </c>
      <c r="L21">
        <f t="shared" si="4"/>
        <v>2.0800412659060266</v>
      </c>
      <c r="M21" s="3">
        <f t="shared" si="5"/>
        <v>78.98821994467616</v>
      </c>
      <c r="N21">
        <f t="shared" si="6"/>
        <v>37.974352355105992</v>
      </c>
      <c r="O21">
        <f t="shared" si="7"/>
        <v>15847.115984</v>
      </c>
      <c r="P21">
        <f t="shared" si="8"/>
        <v>13842.772999999999</v>
      </c>
      <c r="Q21">
        <f t="shared" si="9"/>
        <v>0.45138408166401423</v>
      </c>
      <c r="R21" s="4">
        <f t="shared" si="10"/>
        <v>4.4747183262075101</v>
      </c>
      <c r="S21" s="5">
        <f t="shared" si="17"/>
        <v>7.4213535820275567E-2</v>
      </c>
      <c r="T21" s="9">
        <f t="shared" si="18"/>
        <v>-0.15325950413223044</v>
      </c>
      <c r="U21">
        <f t="shared" si="19"/>
        <v>-0.22747303995250601</v>
      </c>
      <c r="V21">
        <f t="shared" si="20"/>
        <v>0.35725691492290174</v>
      </c>
      <c r="W21">
        <f t="shared" si="11"/>
        <v>0.53594814540908697</v>
      </c>
      <c r="X21">
        <f t="shared" si="12"/>
        <v>3.9410442780891008</v>
      </c>
      <c r="Y21">
        <f t="shared" si="13"/>
        <v>4.9541723221861718</v>
      </c>
      <c r="Z21">
        <f t="shared" si="14"/>
        <v>-0.46945725413839767</v>
      </c>
      <c r="AA21">
        <f t="shared" si="15"/>
        <v>0.54367078995867324</v>
      </c>
      <c r="AB21">
        <f t="shared" si="21"/>
        <v>1.0131280440970709</v>
      </c>
      <c r="AC21" s="1">
        <f t="shared" si="22"/>
        <v>-0.57486235998737345</v>
      </c>
      <c r="AD21" s="1">
        <f t="shared" si="23"/>
        <v>0.42160285585514296</v>
      </c>
      <c r="AE21" s="5">
        <f t="shared" si="16"/>
        <v>7.4213535820275567E-2</v>
      </c>
      <c r="AF21" s="9">
        <f t="shared" si="24"/>
        <v>-0.1532595041322305</v>
      </c>
    </row>
    <row r="22" spans="1:32" x14ac:dyDescent="0.45">
      <c r="A22">
        <v>2020</v>
      </c>
      <c r="B22" s="1">
        <v>14880.71032</v>
      </c>
      <c r="C22" s="1">
        <v>5.6760900000000012</v>
      </c>
      <c r="D22" s="1">
        <v>16115.212063999999</v>
      </c>
      <c r="G22">
        <v>2020</v>
      </c>
      <c r="H22">
        <f t="shared" si="0"/>
        <v>5.6760900000000012</v>
      </c>
      <c r="I22">
        <f t="shared" si="1"/>
        <v>0.74440901443675067</v>
      </c>
      <c r="J22">
        <f t="shared" si="2"/>
        <v>19989.965236059554</v>
      </c>
      <c r="K22">
        <f t="shared" si="3"/>
        <v>0.80616508701726231</v>
      </c>
      <c r="L22">
        <f t="shared" si="4"/>
        <v>3.5517888623292131</v>
      </c>
      <c r="M22" s="3">
        <f t="shared" si="5"/>
        <v>134.87688174903056</v>
      </c>
      <c r="N22">
        <f t="shared" si="6"/>
        <v>37.974352355105992</v>
      </c>
      <c r="O22">
        <f t="shared" si="7"/>
        <v>16115.212063999999</v>
      </c>
      <c r="P22">
        <f t="shared" si="8"/>
        <v>14880.71032</v>
      </c>
      <c r="Q22">
        <f t="shared" si="9"/>
        <v>0.62574569154633053</v>
      </c>
      <c r="R22" s="4">
        <f t="shared" si="10"/>
        <v>6.2855109686685893</v>
      </c>
      <c r="S22" s="5">
        <f t="shared" si="17"/>
        <v>1.8107926424610792</v>
      </c>
      <c r="T22" s="9">
        <f t="shared" si="18"/>
        <v>1.0679495041322316</v>
      </c>
      <c r="U22">
        <f t="shared" si="19"/>
        <v>-0.74284313832884763</v>
      </c>
      <c r="V22">
        <f t="shared" si="20"/>
        <v>0.69064591378206341</v>
      </c>
      <c r="W22">
        <f t="shared" si="11"/>
        <v>0.40896737198822125</v>
      </c>
      <c r="X22">
        <f t="shared" si="12"/>
        <v>6.7387536947004989</v>
      </c>
      <c r="Y22">
        <f t="shared" si="13"/>
        <v>4.7715994115670544</v>
      </c>
      <c r="Z22">
        <f t="shared" si="14"/>
        <v>1.8889734627972619</v>
      </c>
      <c r="AA22">
        <f t="shared" si="15"/>
        <v>-7.8180820336182677E-2</v>
      </c>
      <c r="AB22">
        <f t="shared" si="21"/>
        <v>1.9671542831334445</v>
      </c>
      <c r="AC22" s="1">
        <f t="shared" si="22"/>
        <v>1.1756532177328638</v>
      </c>
      <c r="AD22" s="1">
        <f t="shared" si="23"/>
        <v>-0.10770371360063237</v>
      </c>
      <c r="AE22" s="5">
        <f t="shared" si="16"/>
        <v>1.8107926424610792</v>
      </c>
      <c r="AF22" s="9">
        <f t="shared" si="24"/>
        <v>1.0679495041322313</v>
      </c>
    </row>
    <row r="23" spans="1:32" x14ac:dyDescent="0.45">
      <c r="A23">
        <v>2021</v>
      </c>
      <c r="B23" s="1">
        <v>14899.488856</v>
      </c>
      <c r="C23" s="1">
        <v>7.2427745664739902</v>
      </c>
      <c r="D23" s="1">
        <v>16276.384656</v>
      </c>
      <c r="G23">
        <v>2021</v>
      </c>
      <c r="H23">
        <f t="shared" si="0"/>
        <v>7.2427745664739902</v>
      </c>
      <c r="I23">
        <f t="shared" si="1"/>
        <v>0.71419393114990859</v>
      </c>
      <c r="J23">
        <f t="shared" si="2"/>
        <v>20861.965085604475</v>
      </c>
      <c r="K23">
        <f t="shared" si="3"/>
        <v>0.78019422375657721</v>
      </c>
      <c r="L23">
        <f t="shared" si="4"/>
        <v>4.3062732537205148</v>
      </c>
      <c r="M23" s="3">
        <f t="shared" si="5"/>
        <v>163.52793787415155</v>
      </c>
      <c r="N23">
        <f t="shared" si="6"/>
        <v>37.974352355105992</v>
      </c>
      <c r="O23">
        <f t="shared" si="7"/>
        <v>16276.384656</v>
      </c>
      <c r="P23">
        <f t="shared" si="8"/>
        <v>14899.488856</v>
      </c>
      <c r="Q23">
        <f t="shared" si="9"/>
        <v>0.59456127126388547</v>
      </c>
      <c r="R23" s="4">
        <f t="shared" si="10"/>
        <v>7.2138051871225075</v>
      </c>
      <c r="S23" s="5">
        <f t="shared" si="17"/>
        <v>0.92829421845391824</v>
      </c>
      <c r="T23" s="9">
        <f t="shared" si="18"/>
        <v>1.566684566473989</v>
      </c>
      <c r="U23">
        <f t="shared" si="19"/>
        <v>0.63839034802007077</v>
      </c>
      <c r="V23">
        <f t="shared" si="20"/>
        <v>0.63040503830142625</v>
      </c>
      <c r="W23">
        <f t="shared" si="11"/>
        <v>0.59016684710535905</v>
      </c>
      <c r="X23">
        <f t="shared" si="12"/>
        <v>7.5332192256745145</v>
      </c>
      <c r="Y23">
        <f t="shared" si="13"/>
        <v>7.1746452191951597</v>
      </c>
      <c r="Z23">
        <f t="shared" si="14"/>
        <v>0.64343411246663651</v>
      </c>
      <c r="AA23">
        <f t="shared" si="15"/>
        <v>0.28486010598728173</v>
      </c>
      <c r="AB23">
        <f t="shared" si="21"/>
        <v>0.92829421845391824</v>
      </c>
      <c r="AC23" s="1">
        <f t="shared" si="22"/>
        <v>1.0859254248327623</v>
      </c>
      <c r="AD23" s="1">
        <f t="shared" si="23"/>
        <v>0.48075914164122657</v>
      </c>
      <c r="AE23" s="5">
        <f t="shared" si="16"/>
        <v>0.92829421845391824</v>
      </c>
      <c r="AF23" s="9">
        <f t="shared" si="24"/>
        <v>1.566684566473989</v>
      </c>
    </row>
    <row r="24" spans="1:32" x14ac:dyDescent="0.45">
      <c r="A24">
        <v>2022</v>
      </c>
      <c r="B24" s="1">
        <v>13705.772360000001</v>
      </c>
      <c r="C24" s="1">
        <v>7.2008963093145875</v>
      </c>
      <c r="D24" s="1">
        <v>15065.976128</v>
      </c>
      <c r="G24">
        <v>2022</v>
      </c>
      <c r="H24">
        <f t="shared" si="0"/>
        <v>7.2008963093145875</v>
      </c>
      <c r="I24">
        <f t="shared" si="1"/>
        <v>0.71489833445931716</v>
      </c>
      <c r="J24">
        <f t="shared" si="2"/>
        <v>19171.638398578416</v>
      </c>
      <c r="K24">
        <f t="shared" si="3"/>
        <v>0.78584708384220037</v>
      </c>
      <c r="L24">
        <f t="shared" si="4"/>
        <v>4.1272288768587657</v>
      </c>
      <c r="M24" s="3">
        <f t="shared" si="5"/>
        <v>156.72884362000312</v>
      </c>
      <c r="N24">
        <f t="shared" si="6"/>
        <v>37.974352355105992</v>
      </c>
      <c r="O24">
        <f t="shared" si="7"/>
        <v>15065.976128</v>
      </c>
      <c r="P24">
        <f t="shared" si="8"/>
        <v>13705.772360000001</v>
      </c>
      <c r="Q24">
        <f t="shared" si="9"/>
        <v>0.57315488233319889</v>
      </c>
      <c r="R24" s="4">
        <f t="shared" si="10"/>
        <v>6.9935145332881046</v>
      </c>
      <c r="S24" s="5">
        <f t="shared" si="17"/>
        <v>-0.22029065383440294</v>
      </c>
      <c r="T24" s="9">
        <f t="shared" si="18"/>
        <v>-4.1878257159402743E-2</v>
      </c>
      <c r="U24">
        <f t="shared" si="19"/>
        <v>0.1784123966750002</v>
      </c>
      <c r="V24">
        <f t="shared" si="20"/>
        <v>0.3637946355915293</v>
      </c>
      <c r="W24">
        <f t="shared" si="11"/>
        <v>0.93672545478035762</v>
      </c>
      <c r="X24">
        <f t="shared" si="12"/>
        <v>5.1386330546218595</v>
      </c>
      <c r="Y24">
        <f t="shared" si="13"/>
        <v>10.214662442291285</v>
      </c>
      <c r="Z24">
        <f t="shared" si="14"/>
        <v>-2.6481600207519143</v>
      </c>
      <c r="AA24">
        <f t="shared" si="15"/>
        <v>2.4278693669175113</v>
      </c>
      <c r="AB24">
        <f t="shared" si="21"/>
        <v>5.0760293876694256</v>
      </c>
      <c r="AC24" s="1">
        <f t="shared" si="22"/>
        <v>-2.5550824319520999</v>
      </c>
      <c r="AD24" s="1">
        <f t="shared" si="23"/>
        <v>2.5132041747926972</v>
      </c>
      <c r="AE24" s="5">
        <f t="shared" si="16"/>
        <v>-0.22029065383440294</v>
      </c>
      <c r="AF24" s="9">
        <f t="shared" si="24"/>
        <v>-4.1878257159402743E-2</v>
      </c>
    </row>
    <row r="25" spans="1:32" x14ac:dyDescent="0.45">
      <c r="A25">
        <v>2023</v>
      </c>
      <c r="B25" s="1">
        <v>14965.666464</v>
      </c>
      <c r="C25" s="1">
        <v>4.7430532445923461</v>
      </c>
      <c r="D25" s="1">
        <v>16729.037919999999</v>
      </c>
      <c r="G25">
        <v>2023</v>
      </c>
      <c r="H25">
        <f t="shared" si="0"/>
        <v>4.7430532445923461</v>
      </c>
      <c r="I25">
        <f t="shared" si="1"/>
        <v>0.76748543080163178</v>
      </c>
      <c r="J25">
        <f t="shared" si="2"/>
        <v>19499.609847145231</v>
      </c>
      <c r="K25">
        <f t="shared" si="3"/>
        <v>0.85791654556868746</v>
      </c>
      <c r="L25">
        <f t="shared" si="4"/>
        <v>2.4632003834625564</v>
      </c>
      <c r="M25" s="3">
        <f t="shared" si="5"/>
        <v>93.538439282839306</v>
      </c>
      <c r="N25">
        <f t="shared" si="6"/>
        <v>37.974352355105992</v>
      </c>
      <c r="O25">
        <f t="shared" si="7"/>
        <v>16729.037919999999</v>
      </c>
      <c r="P25">
        <f t="shared" si="8"/>
        <v>14965.666464</v>
      </c>
      <c r="Q25">
        <f t="shared" si="9"/>
        <v>0.51932800591494588</v>
      </c>
      <c r="R25" s="4">
        <f t="shared" si="10"/>
        <v>4.9461454327639949</v>
      </c>
      <c r="S25" s="5">
        <f t="shared" si="17"/>
        <v>-2.0473691005241097</v>
      </c>
      <c r="T25" s="9">
        <f t="shared" si="18"/>
        <v>-2.4578430647222413</v>
      </c>
      <c r="U25">
        <f t="shared" si="19"/>
        <v>-0.41047396419813165</v>
      </c>
      <c r="V25">
        <f t="shared" si="20"/>
        <v>0.96146624416965831</v>
      </c>
      <c r="W25">
        <f t="shared" si="11"/>
        <v>0.30958484910676914</v>
      </c>
      <c r="X25">
        <f t="shared" si="12"/>
        <v>7.526334094178913</v>
      </c>
      <c r="Y25">
        <f t="shared" si="13"/>
        <v>3.7221460855415973</v>
      </c>
      <c r="Z25">
        <f t="shared" si="14"/>
        <v>0.87840945405660298</v>
      </c>
      <c r="AA25">
        <f t="shared" si="15"/>
        <v>-2.9257785545807127</v>
      </c>
      <c r="AB25">
        <f t="shared" si="21"/>
        <v>3.8041880086373157</v>
      </c>
      <c r="AC25" s="1">
        <f t="shared" si="22"/>
        <v>0.78362859412615837</v>
      </c>
      <c r="AD25" s="1">
        <f t="shared" si="23"/>
        <v>-3.2414716588483996</v>
      </c>
      <c r="AE25" s="5">
        <f t="shared" si="16"/>
        <v>-2.0473691005241097</v>
      </c>
      <c r="AF25" s="9">
        <f t="shared" si="24"/>
        <v>-2.4578430647222413</v>
      </c>
    </row>
    <row r="26" spans="1:32" x14ac:dyDescent="0.45">
      <c r="A26">
        <v>2024</v>
      </c>
      <c r="B26" s="1">
        <v>15145.066440000001</v>
      </c>
      <c r="C26" s="1">
        <v>4.3227990235964207</v>
      </c>
      <c r="D26" s="1">
        <v>16676.678479999999</v>
      </c>
      <c r="G26">
        <v>2024</v>
      </c>
      <c r="H26">
        <f t="shared" si="0"/>
        <v>4.3227990235964207</v>
      </c>
      <c r="I26">
        <f t="shared" si="1"/>
        <v>0.77968637033080779</v>
      </c>
      <c r="J26">
        <f t="shared" si="2"/>
        <v>19424.562255172172</v>
      </c>
      <c r="K26">
        <f t="shared" si="3"/>
        <v>0.858535613875134</v>
      </c>
      <c r="L26">
        <f t="shared" si="4"/>
        <v>2.452770807723947</v>
      </c>
      <c r="M26" s="3">
        <f t="shared" si="5"/>
        <v>93.14238289882708</v>
      </c>
      <c r="N26">
        <f t="shared" si="6"/>
        <v>37.974352355105992</v>
      </c>
      <c r="O26">
        <f t="shared" si="7"/>
        <v>16676.678479999999</v>
      </c>
      <c r="P26">
        <f t="shared" si="8"/>
        <v>15145.066440000001</v>
      </c>
      <c r="Q26">
        <f t="shared" si="9"/>
        <v>0.56740338709601235</v>
      </c>
      <c r="R26" s="4">
        <f t="shared" si="10"/>
        <v>4.9333132059219942</v>
      </c>
      <c r="S26" s="5">
        <f t="shared" si="17"/>
        <v>-1.2832226842000694E-2</v>
      </c>
      <c r="T26" s="9">
        <f t="shared" si="18"/>
        <v>-0.42025422099592546</v>
      </c>
      <c r="U26">
        <f t="shared" si="19"/>
        <v>-0.40742199415392477</v>
      </c>
      <c r="V26">
        <f t="shared" si="20"/>
        <v>0.55703647147752822</v>
      </c>
      <c r="W26">
        <f t="shared" si="11"/>
        <v>0.52899313538367798</v>
      </c>
      <c r="X26">
        <f t="shared" si="12"/>
        <v>4.8781753347537231</v>
      </c>
      <c r="Y26">
        <f t="shared" si="13"/>
        <v>4.7290229822532091</v>
      </c>
      <c r="Z26">
        <f t="shared" si="14"/>
        <v>6.8160062829256685E-2</v>
      </c>
      <c r="AA26">
        <f t="shared" si="15"/>
        <v>-8.0992289671257378E-2</v>
      </c>
      <c r="AB26">
        <f t="shared" si="21"/>
        <v>0.14915235250051406</v>
      </c>
      <c r="AC26" s="1">
        <f t="shared" si="22"/>
        <v>-0.11802478946435266</v>
      </c>
      <c r="AD26" s="1">
        <f t="shared" si="23"/>
        <v>-0.30222943153157278</v>
      </c>
      <c r="AE26" s="5">
        <f t="shared" si="16"/>
        <v>-1.2832226842000694E-2</v>
      </c>
      <c r="AF26" s="9">
        <f t="shared" si="24"/>
        <v>-0.42025422099592546</v>
      </c>
    </row>
    <row r="27" spans="1:32" x14ac:dyDescent="0.45">
      <c r="A27">
        <v>2025</v>
      </c>
      <c r="B27" s="1">
        <v>16279.888408000001</v>
      </c>
      <c r="C27" s="1">
        <v>4</v>
      </c>
      <c r="D27" s="1">
        <v>18308.678919999998</v>
      </c>
      <c r="G27">
        <v>2025</v>
      </c>
      <c r="H27">
        <f t="shared" si="0"/>
        <v>4</v>
      </c>
      <c r="I27">
        <f t="shared" si="1"/>
        <v>0.79004131186337712</v>
      </c>
      <c r="J27">
        <f t="shared" si="2"/>
        <v>20606.376101526326</v>
      </c>
      <c r="K27">
        <f t="shared" si="3"/>
        <v>0.88849581458643101</v>
      </c>
      <c r="L27">
        <f t="shared" si="4"/>
        <v>2.0045972916249073</v>
      </c>
      <c r="M27" s="3">
        <f t="shared" si="5"/>
        <v>76.123283882255379</v>
      </c>
      <c r="N27">
        <f t="shared" si="6"/>
        <v>37.974352355105992</v>
      </c>
      <c r="O27">
        <f t="shared" si="7"/>
        <v>18308.678919999998</v>
      </c>
      <c r="P27">
        <f t="shared" si="8"/>
        <v>16279.888408000001</v>
      </c>
      <c r="Q27">
        <f t="shared" si="9"/>
        <v>0.50114932290622671</v>
      </c>
      <c r="R27" s="4">
        <f t="shared" si="10"/>
        <v>4.3818943977850742</v>
      </c>
      <c r="S27" s="5">
        <f t="shared" si="17"/>
        <v>-0.55141880813692001</v>
      </c>
      <c r="T27" s="9">
        <f t="shared" si="18"/>
        <v>-0.32279902359642065</v>
      </c>
      <c r="U27">
        <f t="shared" si="19"/>
        <v>0.22861978454049936</v>
      </c>
      <c r="V27">
        <f t="shared" si="20"/>
        <v>0.86792375584651005</v>
      </c>
      <c r="W27">
        <f t="shared" si="11"/>
        <v>0.32762534881941108</v>
      </c>
      <c r="X27">
        <f t="shared" si="12"/>
        <v>6.1869659908359536</v>
      </c>
      <c r="Y27">
        <f t="shared" si="13"/>
        <v>3.527900312574654</v>
      </c>
      <c r="Z27">
        <f t="shared" si="14"/>
        <v>1.0538234350621898</v>
      </c>
      <c r="AA27">
        <f t="shared" si="15"/>
        <v>-1.6052422431991098</v>
      </c>
      <c r="AB27">
        <f t="shared" si="21"/>
        <v>2.6590656782612996</v>
      </c>
      <c r="AC27" s="1">
        <f t="shared" si="22"/>
        <v>1.1444285256537023</v>
      </c>
      <c r="AD27" s="1">
        <f t="shared" si="23"/>
        <v>-1.467227549250123</v>
      </c>
      <c r="AE27" s="5">
        <f t="shared" si="16"/>
        <v>-0.55141880813692001</v>
      </c>
      <c r="AF27" s="9">
        <f t="shared" si="24"/>
        <v>-0.32279902359642065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E932-1507-44CC-88B2-93B9B1437664}">
  <dimension ref="A1:E26"/>
  <sheetViews>
    <sheetView workbookViewId="0">
      <selection sqref="A1:D26"/>
    </sheetView>
  </sheetViews>
  <sheetFormatPr defaultRowHeight="14.25" x14ac:dyDescent="0.45"/>
  <cols>
    <col min="2" max="2" width="23.33203125" bestFit="1" customWidth="1"/>
    <col min="3" max="3" width="22.796875" bestFit="1" customWidth="1"/>
    <col min="4" max="4" width="22.53125" bestFit="1" customWidth="1"/>
  </cols>
  <sheetData>
    <row r="1" spans="1:5" x14ac:dyDescent="0.45">
      <c r="A1" t="s">
        <v>0</v>
      </c>
      <c r="B1" t="s">
        <v>26</v>
      </c>
      <c r="C1" t="s">
        <v>27</v>
      </c>
      <c r="D1" t="s">
        <v>28</v>
      </c>
    </row>
    <row r="2" spans="1:5" x14ac:dyDescent="0.45">
      <c r="A2">
        <v>2001</v>
      </c>
      <c r="B2" s="7">
        <f>'Shapley Decomposition'!T3</f>
        <v>0.11810711790467465</v>
      </c>
      <c r="C2" s="7">
        <f>'Shapley Decomposition'!AD3</f>
        <v>8.1072142761747623E-2</v>
      </c>
      <c r="D2" s="7">
        <f>'Shapley Decomposition'!AC3</f>
        <v>3.7034975142927029E-2</v>
      </c>
      <c r="E2" s="7"/>
    </row>
    <row r="3" spans="1:5" x14ac:dyDescent="0.45">
      <c r="A3">
        <v>2002</v>
      </c>
      <c r="B3" s="7">
        <f>'Shapley Decomposition'!T4</f>
        <v>0.59283462268281939</v>
      </c>
      <c r="C3" s="7">
        <f>'Shapley Decomposition'!AD4</f>
        <v>1.0270971526718824</v>
      </c>
      <c r="D3" s="7">
        <f>'Shapley Decomposition'!AC4</f>
        <v>-0.43426252998906306</v>
      </c>
      <c r="E3" s="7"/>
    </row>
    <row r="4" spans="1:5" x14ac:dyDescent="0.45">
      <c r="A4">
        <v>2003</v>
      </c>
      <c r="B4" s="7">
        <f>'Shapley Decomposition'!T5</f>
        <v>9.4410973797540265E-2</v>
      </c>
      <c r="C4" s="7">
        <f>'Shapley Decomposition'!AD5</f>
        <v>-1.1438167616066472</v>
      </c>
      <c r="D4" s="7">
        <f>'Shapley Decomposition'!AC5</f>
        <v>1.2382277354041875</v>
      </c>
      <c r="E4" s="7"/>
    </row>
    <row r="5" spans="1:5" x14ac:dyDescent="0.45">
      <c r="A5">
        <v>2004</v>
      </c>
      <c r="B5" s="7">
        <f>'Shapley Decomposition'!T6</f>
        <v>-0.79156602658788655</v>
      </c>
      <c r="C5" s="7">
        <f>'Shapley Decomposition'!AD6</f>
        <v>-1.14235263248051</v>
      </c>
      <c r="D5" s="7">
        <f>'Shapley Decomposition'!AC6</f>
        <v>0.35078660589262362</v>
      </c>
      <c r="E5" s="7"/>
    </row>
    <row r="6" spans="1:5" x14ac:dyDescent="0.45">
      <c r="A6">
        <v>2005</v>
      </c>
      <c r="B6" s="7">
        <f>'Shapley Decomposition'!T7</f>
        <v>-0.19228145048814538</v>
      </c>
      <c r="C6" s="7">
        <f>'Shapley Decomposition'!AD7</f>
        <v>-0.50343869990601453</v>
      </c>
      <c r="D6" s="7">
        <f>'Shapley Decomposition'!AC7</f>
        <v>0.31115724941786915</v>
      </c>
      <c r="E6" s="7"/>
    </row>
    <row r="7" spans="1:5" x14ac:dyDescent="0.45">
      <c r="A7">
        <v>2006</v>
      </c>
      <c r="B7" s="7">
        <f>'Shapley Decomposition'!T8</f>
        <v>1.6944182352292891</v>
      </c>
      <c r="C7" s="7">
        <f>'Shapley Decomposition'!AD8</f>
        <v>1.3794704096849197</v>
      </c>
      <c r="D7" s="7">
        <f>'Shapley Decomposition'!AC8</f>
        <v>0.3149478255443694</v>
      </c>
      <c r="E7" s="7"/>
    </row>
    <row r="8" spans="1:5" x14ac:dyDescent="0.45">
      <c r="A8">
        <v>2007</v>
      </c>
      <c r="B8" s="7">
        <f>'Shapley Decomposition'!T9</f>
        <v>1.7077109216808752</v>
      </c>
      <c r="C8" s="7">
        <f>'Shapley Decomposition'!AD9</f>
        <v>-2.9255784167605436</v>
      </c>
      <c r="D8" s="7">
        <f>'Shapley Decomposition'!AC9</f>
        <v>4.6332893384414193</v>
      </c>
      <c r="E8" s="7"/>
    </row>
    <row r="9" spans="1:5" x14ac:dyDescent="0.45">
      <c r="A9">
        <v>2008</v>
      </c>
      <c r="B9" s="7">
        <f>'Shapley Decomposition'!T10</f>
        <v>-0.56990939796430951</v>
      </c>
      <c r="C9" s="7">
        <f>'Shapley Decomposition'!AD10</f>
        <v>0.91312931236067341</v>
      </c>
      <c r="D9" s="7">
        <f>'Shapley Decomposition'!AC10</f>
        <v>-1.4830387103249829</v>
      </c>
      <c r="E9" s="7"/>
    </row>
    <row r="10" spans="1:5" x14ac:dyDescent="0.45">
      <c r="A10" s="6">
        <v>2009</v>
      </c>
      <c r="B10" s="7">
        <f>'Shapley Decomposition'!T11</f>
        <v>-0.89614172726112873</v>
      </c>
      <c r="C10" s="7">
        <f>'Shapley Decomposition'!AD11</f>
        <v>-2.0041136718579784</v>
      </c>
      <c r="D10" s="7">
        <f>'Shapley Decomposition'!AC11</f>
        <v>1.1079719445968499</v>
      </c>
      <c r="E10" s="7"/>
    </row>
    <row r="11" spans="1:5" x14ac:dyDescent="0.45">
      <c r="A11">
        <v>2010</v>
      </c>
      <c r="B11" s="7">
        <f>'Shapley Decomposition'!T12</f>
        <v>2.4361246309246312</v>
      </c>
      <c r="C11" s="7">
        <f>'Shapley Decomposition'!AD12</f>
        <v>1.797814865573466</v>
      </c>
      <c r="D11" s="7">
        <f>'Shapley Decomposition'!AC12</f>
        <v>0.63830976535116501</v>
      </c>
      <c r="E11" s="7"/>
    </row>
    <row r="12" spans="1:5" x14ac:dyDescent="0.45">
      <c r="A12">
        <v>2011</v>
      </c>
      <c r="B12" s="7">
        <f>'Shapley Decomposition'!T13</f>
        <v>1.2480706007442839</v>
      </c>
      <c r="C12" s="7">
        <f>'Shapley Decomposition'!AD13</f>
        <v>2.5760862461716378</v>
      </c>
      <c r="D12" s="7">
        <f>'Shapley Decomposition'!AC13</f>
        <v>-1.3280156454273542</v>
      </c>
      <c r="E12" s="7"/>
    </row>
    <row r="13" spans="1:5" x14ac:dyDescent="0.45">
      <c r="A13">
        <v>2012</v>
      </c>
      <c r="B13" s="7">
        <f>'Shapley Decomposition'!T14</f>
        <v>0.73982508211167364</v>
      </c>
      <c r="C13" s="7">
        <f>'Shapley Decomposition'!AD14</f>
        <v>6.4568162126888238</v>
      </c>
      <c r="D13" s="7">
        <f>'Shapley Decomposition'!AC14</f>
        <v>-5.7169911305771501</v>
      </c>
      <c r="E13" s="7"/>
    </row>
    <row r="14" spans="1:5" x14ac:dyDescent="0.45">
      <c r="A14">
        <v>2013</v>
      </c>
      <c r="B14" s="7">
        <f>'Shapley Decomposition'!T15</f>
        <v>-3.5690751626937063</v>
      </c>
      <c r="C14" s="7">
        <f>'Shapley Decomposition'!AD15</f>
        <v>-9.0235598178582475</v>
      </c>
      <c r="D14" s="7">
        <f>'Shapley Decomposition'!AC15</f>
        <v>5.4544846551645403</v>
      </c>
      <c r="E14" s="7"/>
    </row>
    <row r="15" spans="1:5" x14ac:dyDescent="0.45">
      <c r="A15">
        <v>2014</v>
      </c>
      <c r="B15" s="7">
        <f>'Shapley Decomposition'!T16</f>
        <v>-1.1859217102812627</v>
      </c>
      <c r="C15" s="7">
        <f>'Shapley Decomposition'!AD16</f>
        <v>-1.1915498551751129</v>
      </c>
      <c r="D15" s="7">
        <f>'Shapley Decomposition'!AC16</f>
        <v>5.628144893850202E-3</v>
      </c>
      <c r="E15" s="7"/>
    </row>
    <row r="16" spans="1:5" x14ac:dyDescent="0.45">
      <c r="A16">
        <v>2015</v>
      </c>
      <c r="B16" s="7">
        <f>'Shapley Decomposition'!T17</f>
        <v>-0.21541440645144405</v>
      </c>
      <c r="C16" s="7">
        <f>'Shapley Decomposition'!AD17</f>
        <v>1.7070624737407704E-2</v>
      </c>
      <c r="D16" s="7">
        <f>'Shapley Decomposition'!AC17</f>
        <v>-0.23248503118885175</v>
      </c>
      <c r="E16" s="7"/>
    </row>
    <row r="17" spans="1:5" x14ac:dyDescent="0.45">
      <c r="A17">
        <v>2016</v>
      </c>
      <c r="B17" s="7">
        <f>'Shapley Decomposition'!T18</f>
        <v>-0.35296492663794776</v>
      </c>
      <c r="C17" s="7">
        <f>'Shapley Decomposition'!AD18</f>
        <v>-1.4374209193178138</v>
      </c>
      <c r="D17" s="7">
        <f>'Shapley Decomposition'!AC18</f>
        <v>1.084455992679866</v>
      </c>
      <c r="E17" s="7"/>
    </row>
    <row r="18" spans="1:5" x14ac:dyDescent="0.45">
      <c r="A18">
        <v>2017</v>
      </c>
      <c r="B18" s="7">
        <f>'Shapley Decomposition'!T19</f>
        <v>-3.869234312839076E-2</v>
      </c>
      <c r="C18" s="7">
        <f>'Shapley Decomposition'!AD19</f>
        <v>-1.5705270841658021E-2</v>
      </c>
      <c r="D18" s="7">
        <f>'Shapley Decomposition'!AC19</f>
        <v>-2.2987072286732718E-2</v>
      </c>
      <c r="E18" s="7"/>
    </row>
    <row r="19" spans="1:5" x14ac:dyDescent="0.45">
      <c r="A19">
        <v>2018</v>
      </c>
      <c r="B19" s="7">
        <f>'Shapley Decomposition'!T20</f>
        <v>0.2682516542155815</v>
      </c>
      <c r="C19" s="7">
        <f>'Shapley Decomposition'!AD20</f>
        <v>0.62107801889113268</v>
      </c>
      <c r="D19" s="7">
        <f>'Shapley Decomposition'!AC20</f>
        <v>-0.35282636467555112</v>
      </c>
      <c r="E19" s="7"/>
    </row>
    <row r="20" spans="1:5" x14ac:dyDescent="0.45">
      <c r="A20">
        <v>2019</v>
      </c>
      <c r="B20" s="7">
        <f>'Shapley Decomposition'!T21</f>
        <v>-0.15325950413223044</v>
      </c>
      <c r="C20" s="7">
        <f>'Shapley Decomposition'!AD21</f>
        <v>0.42160285585514296</v>
      </c>
      <c r="D20" s="7">
        <f>'Shapley Decomposition'!AC21</f>
        <v>-0.57486235998737345</v>
      </c>
      <c r="E20" s="7"/>
    </row>
    <row r="21" spans="1:5" x14ac:dyDescent="0.45">
      <c r="A21">
        <v>2020</v>
      </c>
      <c r="B21" s="7">
        <f>'Shapley Decomposition'!T22</f>
        <v>1.0679495041322316</v>
      </c>
      <c r="C21" s="7">
        <f>'Shapley Decomposition'!AD22</f>
        <v>-0.10770371360063237</v>
      </c>
      <c r="D21" s="7">
        <f>'Shapley Decomposition'!AC22</f>
        <v>1.1756532177328638</v>
      </c>
      <c r="E21" s="7"/>
    </row>
    <row r="22" spans="1:5" x14ac:dyDescent="0.45">
      <c r="A22">
        <v>2021</v>
      </c>
      <c r="B22" s="7">
        <f>'Shapley Decomposition'!T23</f>
        <v>1.566684566473989</v>
      </c>
      <c r="C22" s="7">
        <f>'Shapley Decomposition'!AD23</f>
        <v>0.48075914164122657</v>
      </c>
      <c r="D22" s="7">
        <f>'Shapley Decomposition'!AC23</f>
        <v>1.0859254248327623</v>
      </c>
      <c r="E22" s="7"/>
    </row>
    <row r="23" spans="1:5" x14ac:dyDescent="0.45">
      <c r="A23">
        <v>2022</v>
      </c>
      <c r="B23" s="7">
        <f>'Shapley Decomposition'!T24</f>
        <v>-4.1878257159402743E-2</v>
      </c>
      <c r="C23" s="7">
        <f>'Shapley Decomposition'!AD24</f>
        <v>2.5132041747926972</v>
      </c>
      <c r="D23" s="7">
        <f>'Shapley Decomposition'!AC24</f>
        <v>-2.5550824319520999</v>
      </c>
      <c r="E23" s="7"/>
    </row>
    <row r="24" spans="1:5" x14ac:dyDescent="0.45">
      <c r="A24">
        <v>2023</v>
      </c>
      <c r="B24" s="7">
        <f>'Shapley Decomposition'!T25</f>
        <v>-2.4578430647222413</v>
      </c>
      <c r="C24" s="7">
        <f>'Shapley Decomposition'!AD25</f>
        <v>-3.2414716588483996</v>
      </c>
      <c r="D24" s="7">
        <f>'Shapley Decomposition'!AC25</f>
        <v>0.78362859412615837</v>
      </c>
      <c r="E24" s="7"/>
    </row>
    <row r="25" spans="1:5" x14ac:dyDescent="0.45">
      <c r="A25">
        <v>2024</v>
      </c>
      <c r="B25" s="7">
        <f>'Shapley Decomposition'!T26</f>
        <v>-0.42025422099592546</v>
      </c>
      <c r="C25" s="7">
        <f>'Shapley Decomposition'!AD26</f>
        <v>-0.30222943153157278</v>
      </c>
      <c r="D25" s="7">
        <f>'Shapley Decomposition'!AC26</f>
        <v>-0.11802478946435266</v>
      </c>
      <c r="E25" s="7"/>
    </row>
    <row r="26" spans="1:5" x14ac:dyDescent="0.45">
      <c r="A26">
        <v>2025</v>
      </c>
      <c r="B26" s="7">
        <f>'Shapley Decomposition'!T27</f>
        <v>-0.32279902359642065</v>
      </c>
      <c r="C26" s="7">
        <f>'Shapley Decomposition'!AD27</f>
        <v>-1.467227549250123</v>
      </c>
      <c r="D26" s="7">
        <f>'Shapley Decomposition'!AC27</f>
        <v>1.1444285256537023</v>
      </c>
      <c r="E2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A348-C82B-45D8-89C3-87FC1DEFD158}">
  <dimension ref="A1:H34"/>
  <sheetViews>
    <sheetView workbookViewId="0">
      <selection sqref="A1:D1048576"/>
    </sheetView>
  </sheetViews>
  <sheetFormatPr defaultRowHeight="14.25" x14ac:dyDescent="0.45"/>
  <cols>
    <col min="1" max="1" width="5" bestFit="1" customWidth="1"/>
    <col min="2" max="2" width="13.1328125" bestFit="1" customWidth="1"/>
    <col min="3" max="4" width="12" bestFit="1" customWidth="1"/>
  </cols>
  <sheetData>
    <row r="1" spans="1:8" x14ac:dyDescent="0.45">
      <c r="A1" t="s">
        <v>0</v>
      </c>
      <c r="B1" t="s">
        <v>2</v>
      </c>
      <c r="C1" t="s">
        <v>1</v>
      </c>
      <c r="D1" t="s">
        <v>3</v>
      </c>
      <c r="F1" t="s">
        <v>40</v>
      </c>
      <c r="G1" t="s">
        <v>8</v>
      </c>
      <c r="H1" t="s">
        <v>25</v>
      </c>
    </row>
    <row r="2" spans="1:8" x14ac:dyDescent="0.45">
      <c r="A2">
        <v>2000</v>
      </c>
      <c r="B2">
        <v>3.6736133122028529</v>
      </c>
      <c r="C2">
        <v>9740.2337200000002</v>
      </c>
      <c r="D2">
        <v>11639.34604</v>
      </c>
      <c r="F2">
        <v>0</v>
      </c>
      <c r="G2">
        <f>$D$29 + (C31*COS(A2)*COS($C$30) - $C$32*SIN(A2)*SIN($C$30))</f>
        <v>12838.002523283829</v>
      </c>
      <c r="H2">
        <f>$C$29 + ($C$31*COS(A2)*SIN($C$30) + $C$32*SIN(A2)*COS($C$30))</f>
        <v>12402.374097424718</v>
      </c>
    </row>
    <row r="3" spans="1:8" x14ac:dyDescent="0.45">
      <c r="A3">
        <v>2001</v>
      </c>
      <c r="B3">
        <v>3.7917204301075276</v>
      </c>
      <c r="C3">
        <v>9815.3872319999991</v>
      </c>
      <c r="D3">
        <v>11411.799000000001</v>
      </c>
      <c r="F3">
        <f>$F$27/COUNT($D$2:$D$27)+F2</f>
        <v>0.24153846153846154</v>
      </c>
      <c r="G3">
        <f t="shared" ref="G3:G27" si="0">$D$29 + (C32*COS(A3)*COS($C$30) - $C$32*SIN(A3)*SIN($C$30))</f>
        <v>13800.782361508403</v>
      </c>
      <c r="H3">
        <f t="shared" ref="H3:H27" si="1">$C$29 + ($C$31*COS(A3)*SIN($C$30) + $C$32*SIN(A3)*COS($C$30))</f>
        <v>10234.516624456868</v>
      </c>
    </row>
    <row r="4" spans="1:8" x14ac:dyDescent="0.45">
      <c r="A4">
        <v>2002</v>
      </c>
      <c r="B4">
        <v>4.384555052790347</v>
      </c>
      <c r="C4">
        <v>9490.9161760000006</v>
      </c>
      <c r="D4">
        <v>10577.59108</v>
      </c>
      <c r="F4">
        <f t="shared" ref="F4:F26" si="2">$F$27/COUNT($D$2:$D$27)+F3</f>
        <v>0.48307692307692307</v>
      </c>
      <c r="G4">
        <f t="shared" si="0"/>
        <v>14870.347684813103</v>
      </c>
      <c r="H4">
        <f t="shared" si="1"/>
        <v>10506.074912940734</v>
      </c>
    </row>
    <row r="5" spans="1:8" x14ac:dyDescent="0.45">
      <c r="A5">
        <v>2003</v>
      </c>
      <c r="B5">
        <v>4.4789660265878872</v>
      </c>
      <c r="C5">
        <v>10229.892904</v>
      </c>
      <c r="D5">
        <v>11187.99192</v>
      </c>
      <c r="F5">
        <f t="shared" si="2"/>
        <v>0.72461538461538466</v>
      </c>
      <c r="G5">
        <f t="shared" si="0"/>
        <v>15418.721352529657</v>
      </c>
      <c r="H5">
        <f t="shared" si="1"/>
        <v>12967.379524799462</v>
      </c>
    </row>
    <row r="6" spans="1:8" x14ac:dyDescent="0.45">
      <c r="A6">
        <v>2004</v>
      </c>
      <c r="B6">
        <v>3.6874000000000007</v>
      </c>
      <c r="C6">
        <v>10660.500088000001</v>
      </c>
      <c r="D6">
        <v>12774.443584000001</v>
      </c>
      <c r="F6">
        <f t="shared" si="2"/>
        <v>0.96615384615384614</v>
      </c>
      <c r="G6">
        <f t="shared" si="0"/>
        <v>14661.47656101746</v>
      </c>
      <c r="H6">
        <f t="shared" si="1"/>
        <v>15355.518350777909</v>
      </c>
    </row>
    <row r="7" spans="1:8" x14ac:dyDescent="0.45">
      <c r="A7">
        <v>2005</v>
      </c>
      <c r="B7">
        <v>3.4951185495118553</v>
      </c>
      <c r="C7">
        <v>11267.751488</v>
      </c>
      <c r="D7">
        <v>13234.891712000001</v>
      </c>
      <c r="F7">
        <f t="shared" si="2"/>
        <v>1.2076923076923076</v>
      </c>
      <c r="G7">
        <f t="shared" si="0"/>
        <v>14156.54548198603</v>
      </c>
      <c r="H7">
        <f t="shared" si="1"/>
        <v>15474.847567737956</v>
      </c>
    </row>
    <row r="8" spans="1:8" x14ac:dyDescent="0.45">
      <c r="A8">
        <v>2006</v>
      </c>
      <c r="B8">
        <v>5.1895367847411444</v>
      </c>
      <c r="C8">
        <v>11206.534248</v>
      </c>
      <c r="D8">
        <v>12510.1662</v>
      </c>
      <c r="F8">
        <f t="shared" si="2"/>
        <v>1.4492307692307691</v>
      </c>
      <c r="G8">
        <f t="shared" si="0"/>
        <v>13953.993359125034</v>
      </c>
      <c r="H8">
        <f t="shared" si="1"/>
        <v>13215.656443921414</v>
      </c>
    </row>
    <row r="9" spans="1:8" x14ac:dyDescent="0.45">
      <c r="A9">
        <v>2007</v>
      </c>
      <c r="B9">
        <v>6.8972477064220197</v>
      </c>
      <c r="C9">
        <v>12737.31956</v>
      </c>
      <c r="D9">
        <v>14361.446400000001</v>
      </c>
      <c r="F9">
        <f t="shared" si="2"/>
        <v>1.6907692307692306</v>
      </c>
      <c r="G9">
        <f t="shared" si="0"/>
        <v>14240.045680075895</v>
      </c>
      <c r="H9">
        <f t="shared" si="1"/>
        <v>10655.034879771545</v>
      </c>
    </row>
    <row r="10" spans="1:8" x14ac:dyDescent="0.45">
      <c r="A10">
        <v>2008</v>
      </c>
      <c r="B10">
        <v>6.3273383084577102</v>
      </c>
      <c r="C10">
        <v>12007.476208</v>
      </c>
      <c r="D10">
        <v>13680.77368</v>
      </c>
      <c r="F10">
        <f t="shared" si="2"/>
        <v>1.9323076923076921</v>
      </c>
      <c r="G10">
        <f t="shared" si="0"/>
        <v>14751.707260154262</v>
      </c>
      <c r="H10">
        <f t="shared" si="1"/>
        <v>10147.206532456374</v>
      </c>
    </row>
    <row r="11" spans="1:8" x14ac:dyDescent="0.45">
      <c r="A11">
        <v>2009</v>
      </c>
      <c r="B11">
        <v>5.4311965811965814</v>
      </c>
      <c r="C11">
        <v>13040.925576</v>
      </c>
      <c r="D11">
        <v>14748.709416</v>
      </c>
      <c r="F11">
        <f t="shared" si="2"/>
        <v>2.1738461538461538</v>
      </c>
      <c r="G11">
        <f t="shared" si="0"/>
        <v>15018.558802284353</v>
      </c>
      <c r="H11">
        <f t="shared" si="1"/>
        <v>12159.066442527053</v>
      </c>
    </row>
    <row r="12" spans="1:8" x14ac:dyDescent="0.45">
      <c r="A12">
        <v>2010</v>
      </c>
      <c r="B12">
        <v>7.8673212121212126</v>
      </c>
      <c r="C12">
        <v>13033.051976000001</v>
      </c>
      <c r="D12">
        <v>14160.708968000001</v>
      </c>
      <c r="F12">
        <f t="shared" si="2"/>
        <v>2.4153846153846152</v>
      </c>
      <c r="G12">
        <f t="shared" si="0"/>
        <v>14795.258229280702</v>
      </c>
      <c r="H12">
        <f t="shared" si="1"/>
        <v>14840.91988683194</v>
      </c>
    </row>
    <row r="13" spans="1:8" x14ac:dyDescent="0.45">
      <c r="A13">
        <v>2011</v>
      </c>
      <c r="B13">
        <v>9.1153918128654965</v>
      </c>
      <c r="C13">
        <v>12481.899976000001</v>
      </c>
      <c r="D13">
        <v>13470.902872000001</v>
      </c>
      <c r="F13">
        <f t="shared" si="2"/>
        <v>2.6569230769230767</v>
      </c>
      <c r="G13">
        <f t="shared" si="0"/>
        <v>14287.10705815951</v>
      </c>
      <c r="H13">
        <f t="shared" si="1"/>
        <v>15727.083176677945</v>
      </c>
    </row>
    <row r="14" spans="1:8" x14ac:dyDescent="0.45">
      <c r="A14">
        <v>2012</v>
      </c>
      <c r="B14">
        <v>9.8552168949771701</v>
      </c>
      <c r="C14">
        <v>11082.800624</v>
      </c>
      <c r="D14">
        <v>11903.977736000001</v>
      </c>
      <c r="F14">
        <f t="shared" si="2"/>
        <v>2.8984615384615382</v>
      </c>
      <c r="G14">
        <f t="shared" si="0"/>
        <v>13961.297132190412</v>
      </c>
      <c r="H14">
        <f t="shared" si="1"/>
        <v>14002.821870132044</v>
      </c>
    </row>
    <row r="15" spans="1:8" x14ac:dyDescent="0.45">
      <c r="A15">
        <v>2013</v>
      </c>
      <c r="B15">
        <v>6.2861417322834638</v>
      </c>
      <c r="C15">
        <v>13455.667455999999</v>
      </c>
      <c r="D15">
        <v>14687.570911999999</v>
      </c>
      <c r="F15">
        <f t="shared" si="2"/>
        <v>3.1399999999999997</v>
      </c>
      <c r="G15">
        <f t="shared" si="0"/>
        <v>14117.376594759939</v>
      </c>
      <c r="H15">
        <f t="shared" si="1"/>
        <v>11253.413860594115</v>
      </c>
    </row>
    <row r="16" spans="1:8" x14ac:dyDescent="0.45">
      <c r="A16">
        <v>2014</v>
      </c>
      <c r="B16">
        <v>5.1002200220022011</v>
      </c>
      <c r="C16">
        <v>13749.588943999999</v>
      </c>
      <c r="D16">
        <v>15480.757376</v>
      </c>
      <c r="F16">
        <f t="shared" si="2"/>
        <v>3.3815384615384612</v>
      </c>
      <c r="G16">
        <f t="shared" si="0"/>
        <v>14611.846707778988</v>
      </c>
      <c r="H16">
        <f t="shared" si="1"/>
        <v>10006.652192488669</v>
      </c>
    </row>
    <row r="17" spans="1:8" x14ac:dyDescent="0.45">
      <c r="A17">
        <v>2015</v>
      </c>
      <c r="B17">
        <v>4.8848056155507571</v>
      </c>
      <c r="C17">
        <v>13663.569863999999</v>
      </c>
      <c r="D17">
        <v>15400.604128000001</v>
      </c>
      <c r="F17">
        <f t="shared" si="2"/>
        <v>3.6230769230769226</v>
      </c>
      <c r="G17">
        <f t="shared" si="0"/>
        <v>14990.093929703606</v>
      </c>
      <c r="H17">
        <f t="shared" si="1"/>
        <v>11408.803793735831</v>
      </c>
    </row>
    <row r="18" spans="1:8" x14ac:dyDescent="0.45">
      <c r="A18">
        <v>2016</v>
      </c>
      <c r="B18">
        <v>4.5318406889128093</v>
      </c>
      <c r="C18">
        <v>14648.754064000001</v>
      </c>
      <c r="D18">
        <v>16942.058168</v>
      </c>
      <c r="F18">
        <f t="shared" si="2"/>
        <v>3.8646153846153841</v>
      </c>
      <c r="G18">
        <f t="shared" si="0"/>
        <v>14904.359509072734</v>
      </c>
      <c r="H18">
        <f t="shared" si="1"/>
        <v>14170.736948502374</v>
      </c>
    </row>
    <row r="19" spans="1:8" x14ac:dyDescent="0.45">
      <c r="A19">
        <v>2017</v>
      </c>
      <c r="B19">
        <v>4.4931483457844186</v>
      </c>
      <c r="C19">
        <v>14798.313096</v>
      </c>
      <c r="D19">
        <v>16938.633151999999</v>
      </c>
      <c r="F19">
        <f t="shared" si="2"/>
        <v>4.1061538461538456</v>
      </c>
      <c r="G19">
        <f t="shared" si="0"/>
        <v>14433.467276829859</v>
      </c>
      <c r="H19">
        <f t="shared" si="1"/>
        <v>15753.143051603267</v>
      </c>
    </row>
    <row r="20" spans="1:8" x14ac:dyDescent="0.45">
      <c r="A20">
        <v>2018</v>
      </c>
      <c r="B20">
        <v>4.7614000000000001</v>
      </c>
      <c r="C20">
        <v>14252.830088000001</v>
      </c>
      <c r="D20">
        <v>16489.837952000002</v>
      </c>
      <c r="F20">
        <f t="shared" si="2"/>
        <v>4.3476923076923075</v>
      </c>
      <c r="G20">
        <f t="shared" si="0"/>
        <v>14010.353379668288</v>
      </c>
      <c r="H20">
        <f t="shared" si="1"/>
        <v>14701.165229487184</v>
      </c>
    </row>
    <row r="21" spans="1:8" x14ac:dyDescent="0.45">
      <c r="A21">
        <v>2019</v>
      </c>
      <c r="B21">
        <v>4.6081404958677696</v>
      </c>
      <c r="C21">
        <v>13842.772999999999</v>
      </c>
      <c r="D21">
        <v>15847.115984</v>
      </c>
      <c r="F21">
        <f t="shared" si="2"/>
        <v>4.5892307692307694</v>
      </c>
      <c r="G21">
        <f t="shared" si="0"/>
        <v>14024.026783348661</v>
      </c>
      <c r="H21">
        <f t="shared" si="1"/>
        <v>11981.987040363365</v>
      </c>
    </row>
    <row r="22" spans="1:8" x14ac:dyDescent="0.45">
      <c r="A22">
        <v>2020</v>
      </c>
      <c r="B22">
        <v>5.6760900000000012</v>
      </c>
      <c r="C22">
        <v>14880.71032</v>
      </c>
      <c r="D22">
        <v>16115.212063999999</v>
      </c>
      <c r="F22">
        <f t="shared" si="2"/>
        <v>4.8307692307692314</v>
      </c>
      <c r="G22">
        <f t="shared" si="0"/>
        <v>14461.916223585373</v>
      </c>
      <c r="H22">
        <f t="shared" si="1"/>
        <v>10095.608371179544</v>
      </c>
    </row>
    <row r="23" spans="1:8" x14ac:dyDescent="0.45">
      <c r="A23">
        <v>2021</v>
      </c>
      <c r="B23">
        <v>7.2427745664739902</v>
      </c>
      <c r="C23">
        <v>14899.488856</v>
      </c>
      <c r="D23">
        <v>16276.384656</v>
      </c>
      <c r="F23">
        <f t="shared" si="2"/>
        <v>5.0723076923076933</v>
      </c>
      <c r="G23">
        <f t="shared" si="0"/>
        <v>14921.428168455412</v>
      </c>
      <c r="H23">
        <f t="shared" si="1"/>
        <v>10776.357070902381</v>
      </c>
    </row>
    <row r="24" spans="1:8" x14ac:dyDescent="0.45">
      <c r="A24">
        <v>2022</v>
      </c>
      <c r="B24">
        <v>7.2008963093145875</v>
      </c>
      <c r="C24">
        <v>13705.772360000001</v>
      </c>
      <c r="D24">
        <v>15065.976128</v>
      </c>
      <c r="F24">
        <f t="shared" si="2"/>
        <v>5.3138461538461552</v>
      </c>
      <c r="G24">
        <f t="shared" si="0"/>
        <v>14980.089454993167</v>
      </c>
      <c r="H24">
        <f t="shared" si="1"/>
        <v>13398.355924440173</v>
      </c>
    </row>
    <row r="25" spans="1:8" x14ac:dyDescent="0.45">
      <c r="A25">
        <v>2023</v>
      </c>
      <c r="B25">
        <v>4.7430532445923461</v>
      </c>
      <c r="C25">
        <v>14965.666464</v>
      </c>
      <c r="D25">
        <v>16729.037919999999</v>
      </c>
      <c r="F25">
        <f t="shared" si="2"/>
        <v>5.5553846153846171</v>
      </c>
      <c r="G25">
        <f t="shared" si="0"/>
        <v>14583.967166886212</v>
      </c>
      <c r="H25">
        <f t="shared" si="1"/>
        <v>15550.951277817516</v>
      </c>
    </row>
    <row r="26" spans="1:8" x14ac:dyDescent="0.45">
      <c r="A26">
        <v>2024</v>
      </c>
      <c r="B26">
        <v>4.3227990235964207</v>
      </c>
      <c r="C26">
        <v>15145.066440000001</v>
      </c>
      <c r="D26">
        <v>16676.678479999999</v>
      </c>
      <c r="F26">
        <f t="shared" si="2"/>
        <v>5.7969230769230791</v>
      </c>
      <c r="G26">
        <f t="shared" si="0"/>
        <v>14097.254309008553</v>
      </c>
      <c r="H26">
        <f t="shared" si="1"/>
        <v>15255.056890341362</v>
      </c>
    </row>
    <row r="27" spans="1:8" x14ac:dyDescent="0.45">
      <c r="A27">
        <v>2025</v>
      </c>
      <c r="B27">
        <v>4</v>
      </c>
      <c r="C27">
        <v>16279.888408000001</v>
      </c>
      <c r="D27">
        <v>18308.678919999998</v>
      </c>
      <c r="F27">
        <v>6.28</v>
      </c>
      <c r="G27">
        <f t="shared" si="0"/>
        <v>13967.432438301566</v>
      </c>
      <c r="H27">
        <f t="shared" si="1"/>
        <v>12782.716697270409</v>
      </c>
    </row>
    <row r="28" spans="1:8" x14ac:dyDescent="0.45">
      <c r="B28" s="10" t="s">
        <v>33</v>
      </c>
      <c r="C28" s="10">
        <f>C27*1.1</f>
        <v>17907.877248800003</v>
      </c>
      <c r="D28" s="10">
        <f>D27*0.9</f>
        <v>16477.811028</v>
      </c>
    </row>
    <row r="29" spans="1:8" x14ac:dyDescent="0.45">
      <c r="B29" t="s">
        <v>34</v>
      </c>
      <c r="C29">
        <f>AVERAGE(C2:C27)</f>
        <v>12887.799197538463</v>
      </c>
      <c r="D29">
        <f>AVERAGE(D2:D27)</f>
        <v>14485.434401846152</v>
      </c>
    </row>
    <row r="30" spans="1:8" x14ac:dyDescent="0.45">
      <c r="B30" t="s">
        <v>35</v>
      </c>
      <c r="C30">
        <f>ATAN(SLOPE(C2:C27,D2:D27))</f>
        <v>0.73315121005701922</v>
      </c>
    </row>
    <row r="31" spans="1:8" x14ac:dyDescent="0.45">
      <c r="B31" t="s">
        <v>36</v>
      </c>
      <c r="C31">
        <f>2*_xlfn.STDEV.S(D2:D27)</f>
        <v>4215.455867462786</v>
      </c>
    </row>
    <row r="32" spans="1:8" x14ac:dyDescent="0.45">
      <c r="B32" t="s">
        <v>37</v>
      </c>
      <c r="C32">
        <f>C31*SQRT(1-(CORREL(C2:C27,D2:D27)^2))</f>
        <v>797.57995485989807</v>
      </c>
    </row>
    <row r="33" spans="2:3" x14ac:dyDescent="0.45">
      <c r="B33" t="s">
        <v>38</v>
      </c>
      <c r="C33">
        <f>PI()/180</f>
        <v>1.7453292519943295E-2</v>
      </c>
    </row>
    <row r="34" spans="2:3" x14ac:dyDescent="0.45">
      <c r="B34" t="s">
        <v>39</v>
      </c>
      <c r="C34">
        <f>ABS((C28 - C29)*COS($C$30) - (D28 - D29)*SIN($C$30))</f>
        <v>2396.9383113210411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55-5C04-4B40-9049-63D214A20E82}">
  <dimension ref="A1:K27"/>
  <sheetViews>
    <sheetView tabSelected="1" workbookViewId="0"/>
  </sheetViews>
  <sheetFormatPr defaultRowHeight="14.25" x14ac:dyDescent="0.45"/>
  <cols>
    <col min="1" max="1" width="5" bestFit="1" customWidth="1"/>
    <col min="2" max="2" width="13.1328125" bestFit="1" customWidth="1"/>
    <col min="3" max="4" width="13.1328125" customWidth="1"/>
    <col min="5" max="5" width="12" bestFit="1" customWidth="1"/>
    <col min="6" max="7" width="12" customWidth="1"/>
    <col min="8" max="8" width="12" bestFit="1" customWidth="1"/>
    <col min="11" max="11" width="12.46484375" bestFit="1" customWidth="1"/>
  </cols>
  <sheetData>
    <row r="1" spans="1:11" x14ac:dyDescent="0.45">
      <c r="A1" t="s">
        <v>0</v>
      </c>
      <c r="B1" t="s">
        <v>41</v>
      </c>
      <c r="C1" t="s">
        <v>43</v>
      </c>
      <c r="D1" t="s">
        <v>46</v>
      </c>
      <c r="E1" t="s">
        <v>42</v>
      </c>
      <c r="F1" t="s">
        <v>44</v>
      </c>
      <c r="G1" t="s">
        <v>47</v>
      </c>
      <c r="H1" t="s">
        <v>3</v>
      </c>
      <c r="I1" t="s">
        <v>45</v>
      </c>
      <c r="J1" t="s">
        <v>48</v>
      </c>
      <c r="K1" t="s">
        <v>49</v>
      </c>
    </row>
    <row r="2" spans="1:11" x14ac:dyDescent="0.45">
      <c r="A2">
        <v>2000</v>
      </c>
      <c r="B2">
        <v>3.6736133122028529</v>
      </c>
      <c r="E2">
        <v>9740.2337200000002</v>
      </c>
      <c r="H2">
        <v>11639.34604</v>
      </c>
      <c r="K2">
        <f>'Shapley Decomposition'!R2</f>
        <v>3.500665810532519</v>
      </c>
    </row>
    <row r="3" spans="1:11" x14ac:dyDescent="0.45">
      <c r="A3">
        <v>2001</v>
      </c>
      <c r="B3">
        <v>3.7917204301075276</v>
      </c>
      <c r="C3">
        <f>B3-B2</f>
        <v>0.11810711790467465</v>
      </c>
      <c r="D3">
        <f>C3/B2</f>
        <v>3.215012247270322E-2</v>
      </c>
      <c r="E3">
        <v>9815.3872319999991</v>
      </c>
      <c r="F3">
        <f>E3-E2</f>
        <v>75.153511999998955</v>
      </c>
      <c r="G3">
        <f>F3/E2</f>
        <v>7.7157811773739399E-3</v>
      </c>
      <c r="H3">
        <v>11411.799000000001</v>
      </c>
      <c r="I3">
        <f>H3-H2</f>
        <v>-227.54703999999947</v>
      </c>
      <c r="J3">
        <f>I3/H2</f>
        <v>-1.954981312678624E-2</v>
      </c>
      <c r="K3">
        <f>'Shapley Decomposition'!R3</f>
        <v>3.8381102290358076</v>
      </c>
    </row>
    <row r="4" spans="1:11" x14ac:dyDescent="0.45">
      <c r="A4">
        <v>2002</v>
      </c>
      <c r="B4">
        <v>4.384555052790347</v>
      </c>
      <c r="C4">
        <f t="shared" ref="C4" si="0">B4-B3</f>
        <v>0.59283462268281939</v>
      </c>
      <c r="D4">
        <f t="shared" ref="D4:D27" si="1">C4/B3</f>
        <v>0.15634977145875903</v>
      </c>
      <c r="E4">
        <v>9490.9161760000006</v>
      </c>
      <c r="F4">
        <f t="shared" ref="F4:I27" si="2">E4-E3</f>
        <v>-324.4710559999985</v>
      </c>
      <c r="G4">
        <f t="shared" ref="G4:G27" si="3">F4/E3</f>
        <v>-3.3057387174920835E-2</v>
      </c>
      <c r="H4">
        <v>10577.59108</v>
      </c>
      <c r="I4">
        <f t="shared" si="2"/>
        <v>-834.20792000000074</v>
      </c>
      <c r="J4">
        <f t="shared" ref="J4:J27" si="4">I4/H3</f>
        <v>-7.3100474342389019E-2</v>
      </c>
      <c r="K4">
        <f>'Shapley Decomposition'!R4</f>
        <v>4.766700518478018</v>
      </c>
    </row>
    <row r="5" spans="1:11" x14ac:dyDescent="0.45">
      <c r="A5">
        <v>2003</v>
      </c>
      <c r="B5">
        <v>4.4789660265878872</v>
      </c>
      <c r="C5">
        <f t="shared" ref="C5" si="5">B5-B4</f>
        <v>9.4410973797540265E-2</v>
      </c>
      <c r="D5">
        <f t="shared" si="1"/>
        <v>2.1532623643864792E-2</v>
      </c>
      <c r="E5">
        <v>10229.892904</v>
      </c>
      <c r="F5">
        <f t="shared" si="2"/>
        <v>738.97672799999964</v>
      </c>
      <c r="G5">
        <f t="shared" si="3"/>
        <v>7.7861474519043267E-2</v>
      </c>
      <c r="H5">
        <v>11187.99192</v>
      </c>
      <c r="I5">
        <f t="shared" si="2"/>
        <v>610.40084000000024</v>
      </c>
      <c r="J5">
        <f t="shared" si="4"/>
        <v>5.7706980292908078E-2</v>
      </c>
      <c r="K5">
        <f>'Shapley Decomposition'!R5</f>
        <v>5.1701257397489035</v>
      </c>
    </row>
    <row r="6" spans="1:11" x14ac:dyDescent="0.45">
      <c r="A6">
        <v>2004</v>
      </c>
      <c r="B6">
        <v>3.6874000000000007</v>
      </c>
      <c r="C6">
        <f t="shared" ref="C6" si="6">B6-B5</f>
        <v>-0.79156602658788655</v>
      </c>
      <c r="D6">
        <f t="shared" si="1"/>
        <v>-0.17672963400236102</v>
      </c>
      <c r="E6">
        <v>10660.500088000001</v>
      </c>
      <c r="F6">
        <f t="shared" si="2"/>
        <v>430.60718400000042</v>
      </c>
      <c r="G6">
        <f t="shared" si="3"/>
        <v>4.2093029520536653E-2</v>
      </c>
      <c r="H6">
        <v>12774.443584000001</v>
      </c>
      <c r="I6">
        <f t="shared" si="2"/>
        <v>1586.4516640000002</v>
      </c>
      <c r="J6">
        <f t="shared" si="4"/>
        <v>0.1417995003342834</v>
      </c>
      <c r="K6">
        <f>'Shapley Decomposition'!R6</f>
        <v>3.4808520348521204</v>
      </c>
    </row>
    <row r="7" spans="1:11" x14ac:dyDescent="0.45">
      <c r="A7">
        <v>2005</v>
      </c>
      <c r="B7">
        <v>3.4951185495118553</v>
      </c>
      <c r="C7">
        <f t="shared" ref="C7" si="7">B7-B6</f>
        <v>-0.19228145048814538</v>
      </c>
      <c r="D7">
        <f t="shared" si="1"/>
        <v>-5.2145536282514872E-2</v>
      </c>
      <c r="E7">
        <v>11267.751488</v>
      </c>
      <c r="F7">
        <f t="shared" si="2"/>
        <v>607.25139999999919</v>
      </c>
      <c r="G7">
        <f t="shared" si="3"/>
        <v>5.6962749869825725E-2</v>
      </c>
      <c r="H7">
        <v>13234.891712000001</v>
      </c>
      <c r="I7">
        <f t="shared" si="2"/>
        <v>460.448128</v>
      </c>
      <c r="J7">
        <f t="shared" si="4"/>
        <v>3.6044476221000467E-2</v>
      </c>
      <c r="K7">
        <f>'Shapley Decomposition'!R7</f>
        <v>3.5843605493785118</v>
      </c>
    </row>
    <row r="8" spans="1:11" x14ac:dyDescent="0.45">
      <c r="A8">
        <v>2006</v>
      </c>
      <c r="B8">
        <v>5.1895367847411444</v>
      </c>
      <c r="C8">
        <f t="shared" ref="C8" si="8">B8-B7</f>
        <v>1.6944182352292891</v>
      </c>
      <c r="D8">
        <f t="shared" si="1"/>
        <v>0.48479564032697531</v>
      </c>
      <c r="E8">
        <v>11206.534248</v>
      </c>
      <c r="F8">
        <f t="shared" si="2"/>
        <v>-61.217239999999947</v>
      </c>
      <c r="G8">
        <f t="shared" si="3"/>
        <v>-5.4329597227268872E-3</v>
      </c>
      <c r="H8">
        <v>12510.1662</v>
      </c>
      <c r="I8">
        <f t="shared" si="2"/>
        <v>-724.72551200000089</v>
      </c>
      <c r="J8">
        <f t="shared" si="4"/>
        <v>-5.4758703567094273E-2</v>
      </c>
      <c r="K8">
        <f>'Shapley Decomposition'!R8</f>
        <v>5.2577274362978095</v>
      </c>
    </row>
    <row r="9" spans="1:11" x14ac:dyDescent="0.45">
      <c r="A9">
        <v>2007</v>
      </c>
      <c r="B9">
        <v>6.8972477064220197</v>
      </c>
      <c r="C9">
        <f t="shared" ref="C9" si="9">B9-B8</f>
        <v>1.7077109216808752</v>
      </c>
      <c r="D9">
        <f t="shared" si="1"/>
        <v>0.32906808305166613</v>
      </c>
      <c r="E9">
        <v>12737.31956</v>
      </c>
      <c r="F9">
        <f t="shared" si="2"/>
        <v>1530.785312</v>
      </c>
      <c r="G9">
        <f t="shared" si="3"/>
        <v>0.13659756693048924</v>
      </c>
      <c r="H9">
        <v>14361.446400000001</v>
      </c>
      <c r="I9">
        <f t="shared" si="2"/>
        <v>1851.2802000000011</v>
      </c>
      <c r="J9">
        <f t="shared" si="4"/>
        <v>0.14798206278026915</v>
      </c>
      <c r="K9">
        <f>'Shapley Decomposition'!R9</f>
        <v>6.1046138980080125</v>
      </c>
    </row>
    <row r="10" spans="1:11" x14ac:dyDescent="0.45">
      <c r="A10">
        <v>2008</v>
      </c>
      <c r="B10">
        <v>6.3273383084577102</v>
      </c>
      <c r="C10">
        <f t="shared" ref="C10" si="10">B10-B9</f>
        <v>-0.56990939796430951</v>
      </c>
      <c r="D10">
        <f t="shared" si="1"/>
        <v>-8.2628524046434851E-2</v>
      </c>
      <c r="E10">
        <v>12007.476208</v>
      </c>
      <c r="F10">
        <f t="shared" si="2"/>
        <v>-729.84335199999987</v>
      </c>
      <c r="G10">
        <f t="shared" si="3"/>
        <v>-5.7299602837317831E-2</v>
      </c>
      <c r="H10">
        <v>13680.77368</v>
      </c>
      <c r="I10">
        <f t="shared" si="2"/>
        <v>-680.67272000000048</v>
      </c>
      <c r="J10">
        <f t="shared" si="4"/>
        <v>-4.7395833333333366E-2</v>
      </c>
      <c r="K10">
        <f>'Shapley Decomposition'!R10</f>
        <v>5.529337794415178</v>
      </c>
    </row>
    <row r="11" spans="1:11" x14ac:dyDescent="0.45">
      <c r="A11">
        <v>2009</v>
      </c>
      <c r="B11">
        <v>5.4311965811965814</v>
      </c>
      <c r="C11">
        <f t="shared" ref="C11" si="11">B11-B10</f>
        <v>-0.89614172726112873</v>
      </c>
      <c r="D11">
        <f t="shared" si="1"/>
        <v>-0.14163012685180151</v>
      </c>
      <c r="E11">
        <v>13040.925576</v>
      </c>
      <c r="F11">
        <f t="shared" si="2"/>
        <v>1033.4493679999996</v>
      </c>
      <c r="G11">
        <f t="shared" si="3"/>
        <v>8.6067159334570431E-2</v>
      </c>
      <c r="H11">
        <v>14748.709416</v>
      </c>
      <c r="I11">
        <f t="shared" si="2"/>
        <v>1067.9357359999995</v>
      </c>
      <c r="J11">
        <f t="shared" si="4"/>
        <v>7.8061062990993024E-2</v>
      </c>
      <c r="K11">
        <f>'Shapley Decomposition'!R11</f>
        <v>5.1555000000000035</v>
      </c>
    </row>
    <row r="12" spans="1:11" x14ac:dyDescent="0.45">
      <c r="A12">
        <v>2010</v>
      </c>
      <c r="B12">
        <v>7.8673212121212126</v>
      </c>
      <c r="C12">
        <f t="shared" ref="C12" si="12">B12-B11</f>
        <v>2.4361246309246312</v>
      </c>
      <c r="D12">
        <f t="shared" si="1"/>
        <v>0.44854289372599232</v>
      </c>
      <c r="E12">
        <v>13033.051976000001</v>
      </c>
      <c r="F12">
        <f t="shared" si="2"/>
        <v>-7.8735999999989872</v>
      </c>
      <c r="G12">
        <f t="shared" si="3"/>
        <v>-6.0376082618623689E-4</v>
      </c>
      <c r="H12">
        <v>14160.708968000001</v>
      </c>
      <c r="I12">
        <f t="shared" si="2"/>
        <v>-588.00044799999887</v>
      </c>
      <c r="J12">
        <f t="shared" si="4"/>
        <v>-3.9867925485202932E-2</v>
      </c>
      <c r="K12">
        <f>'Shapley Decomposition'!R12</f>
        <v>7.8566280832278474</v>
      </c>
    </row>
    <row r="13" spans="1:11" x14ac:dyDescent="0.45">
      <c r="A13">
        <v>2011</v>
      </c>
      <c r="B13">
        <v>9.1153918128654965</v>
      </c>
      <c r="C13">
        <f t="shared" ref="C13" si="13">B13-B12</f>
        <v>1.2480706007442839</v>
      </c>
      <c r="D13">
        <f t="shared" si="1"/>
        <v>0.15863984285036903</v>
      </c>
      <c r="E13">
        <v>12481.899976000001</v>
      </c>
      <c r="F13">
        <f t="shared" si="2"/>
        <v>-551.15200000000004</v>
      </c>
      <c r="G13">
        <f t="shared" si="3"/>
        <v>-4.2288790147920148E-2</v>
      </c>
      <c r="H13">
        <v>13470.902872000001</v>
      </c>
      <c r="I13">
        <f t="shared" si="2"/>
        <v>-689.80609600000025</v>
      </c>
      <c r="J13">
        <f t="shared" si="4"/>
        <v>-4.8712680809894902E-2</v>
      </c>
      <c r="K13">
        <f>'Shapley Decomposition'!R13</f>
        <v>9.0771103336656598</v>
      </c>
    </row>
    <row r="14" spans="1:11" x14ac:dyDescent="0.45">
      <c r="A14">
        <v>2012</v>
      </c>
      <c r="B14">
        <v>9.8552168949771701</v>
      </c>
      <c r="C14">
        <f t="shared" ref="C14" si="14">B14-B13</f>
        <v>0.73982508211167364</v>
      </c>
      <c r="D14">
        <f t="shared" si="1"/>
        <v>8.1162181209531975E-2</v>
      </c>
      <c r="E14">
        <v>11082.800624</v>
      </c>
      <c r="F14">
        <f t="shared" si="2"/>
        <v>-1399.0993520000011</v>
      </c>
      <c r="G14">
        <f t="shared" si="3"/>
        <v>-0.11209025506454684</v>
      </c>
      <c r="H14">
        <v>11903.977736000001</v>
      </c>
      <c r="I14">
        <f t="shared" si="2"/>
        <v>-1566.9251359999998</v>
      </c>
      <c r="J14">
        <f t="shared" si="4"/>
        <v>-0.11631923642304172</v>
      </c>
      <c r="K14">
        <f>'Shapley Decomposition'!R14</f>
        <v>9.8788926303515296</v>
      </c>
    </row>
    <row r="15" spans="1:11" x14ac:dyDescent="0.45">
      <c r="A15">
        <v>2013</v>
      </c>
      <c r="B15">
        <v>6.2861417322834638</v>
      </c>
      <c r="C15">
        <f t="shared" ref="C15" si="15">B15-B14</f>
        <v>-3.5690751626937063</v>
      </c>
      <c r="D15">
        <f t="shared" si="1"/>
        <v>-0.36215084870559555</v>
      </c>
      <c r="E15">
        <v>13455.667455999999</v>
      </c>
      <c r="F15">
        <f t="shared" si="2"/>
        <v>2372.8668319999997</v>
      </c>
      <c r="G15">
        <f t="shared" si="3"/>
        <v>0.21410353867248275</v>
      </c>
      <c r="H15">
        <v>14687.570911999999</v>
      </c>
      <c r="I15">
        <f t="shared" si="2"/>
        <v>2783.5931759999985</v>
      </c>
      <c r="J15">
        <f t="shared" si="4"/>
        <v>0.23383722968347445</v>
      </c>
      <c r="K15">
        <f>'Shapley Decomposition'!R15</f>
        <v>6.535340900791283</v>
      </c>
    </row>
    <row r="16" spans="1:11" x14ac:dyDescent="0.45">
      <c r="A16">
        <v>2014</v>
      </c>
      <c r="B16">
        <v>5.1002200220022011</v>
      </c>
      <c r="C16">
        <f t="shared" ref="C16" si="16">B16-B15</f>
        <v>-1.1859217102812627</v>
      </c>
      <c r="D16">
        <f t="shared" si="1"/>
        <v>-0.18865653381481623</v>
      </c>
      <c r="E16">
        <v>13749.588943999999</v>
      </c>
      <c r="F16">
        <f t="shared" si="2"/>
        <v>293.92148799999995</v>
      </c>
      <c r="G16">
        <f t="shared" si="3"/>
        <v>2.1843694410635706E-2</v>
      </c>
      <c r="H16">
        <v>15480.757376</v>
      </c>
      <c r="I16">
        <f t="shared" si="2"/>
        <v>793.18646400000034</v>
      </c>
      <c r="J16">
        <f t="shared" si="4"/>
        <v>5.4003924049275794E-2</v>
      </c>
      <c r="K16">
        <f>'Shapley Decomposition'!R16</f>
        <v>5.0391939594179975</v>
      </c>
    </row>
    <row r="17" spans="1:11" x14ac:dyDescent="0.45">
      <c r="A17">
        <v>2015</v>
      </c>
      <c r="B17">
        <v>4.8848056155507571</v>
      </c>
      <c r="C17">
        <f t="shared" ref="C17" si="17">B17-B16</f>
        <v>-0.21541440645144405</v>
      </c>
      <c r="D17">
        <f t="shared" si="1"/>
        <v>-4.2236296771933871E-2</v>
      </c>
      <c r="E17">
        <v>13663.569863999999</v>
      </c>
      <c r="F17">
        <f t="shared" si="2"/>
        <v>-86.019080000000031</v>
      </c>
      <c r="G17">
        <f t="shared" si="3"/>
        <v>-6.2561201175062586E-3</v>
      </c>
      <c r="H17">
        <v>15400.604128000001</v>
      </c>
      <c r="I17">
        <f t="shared" si="2"/>
        <v>-80.153247999998712</v>
      </c>
      <c r="J17">
        <f t="shared" si="4"/>
        <v>-5.177605077918296E-3</v>
      </c>
      <c r="K17">
        <f>'Shapley Decomposition'!R17</f>
        <v>4.8882319866814177</v>
      </c>
    </row>
    <row r="18" spans="1:11" x14ac:dyDescent="0.45">
      <c r="A18">
        <v>2016</v>
      </c>
      <c r="B18">
        <v>4.5318406889128093</v>
      </c>
      <c r="C18">
        <f t="shared" ref="C18" si="18">B18-B17</f>
        <v>-0.35296492663794776</v>
      </c>
      <c r="D18">
        <f t="shared" si="1"/>
        <v>-7.2257722091189358E-2</v>
      </c>
      <c r="E18">
        <v>14648.754064000001</v>
      </c>
      <c r="F18">
        <f t="shared" si="2"/>
        <v>985.18420000000151</v>
      </c>
      <c r="G18">
        <f t="shared" si="3"/>
        <v>7.2102986979684508E-2</v>
      </c>
      <c r="H18">
        <v>16942.058168</v>
      </c>
      <c r="I18">
        <f t="shared" si="2"/>
        <v>1541.4540399999987</v>
      </c>
      <c r="J18">
        <f t="shared" si="4"/>
        <v>0.10009049172281917</v>
      </c>
      <c r="K18">
        <f>'Shapley Decomposition'!R18</f>
        <v>4.2855001253401754</v>
      </c>
    </row>
    <row r="19" spans="1:11" x14ac:dyDescent="0.45">
      <c r="A19">
        <v>2017</v>
      </c>
      <c r="B19">
        <v>4.4931483457844186</v>
      </c>
      <c r="C19">
        <f t="shared" ref="C19" si="19">B19-B18</f>
        <v>-3.869234312839076E-2</v>
      </c>
      <c r="D19">
        <f t="shared" si="1"/>
        <v>-8.5378868729988552E-3</v>
      </c>
      <c r="E19">
        <v>14798.313096</v>
      </c>
      <c r="F19">
        <f t="shared" si="2"/>
        <v>149.55903199999921</v>
      </c>
      <c r="G19">
        <f t="shared" si="3"/>
        <v>1.0209675945584173E-2</v>
      </c>
      <c r="H19">
        <v>16938.633151999999</v>
      </c>
      <c r="I19">
        <f t="shared" si="2"/>
        <v>-3.425016000001051</v>
      </c>
      <c r="J19">
        <f t="shared" si="4"/>
        <v>-2.0216056195995061E-4</v>
      </c>
      <c r="K19">
        <f>'Shapley Decomposition'!R19</f>
        <v>4.4129174351038509</v>
      </c>
    </row>
    <row r="20" spans="1:11" x14ac:dyDescent="0.45">
      <c r="A20">
        <v>2018</v>
      </c>
      <c r="B20">
        <v>4.7614000000000001</v>
      </c>
      <c r="C20">
        <f t="shared" ref="C20" si="20">B20-B19</f>
        <v>0.2682516542155815</v>
      </c>
      <c r="D20">
        <f t="shared" si="1"/>
        <v>5.9702380952380917E-2</v>
      </c>
      <c r="E20">
        <v>14252.830088000001</v>
      </c>
      <c r="F20">
        <f t="shared" si="2"/>
        <v>-545.48300799999924</v>
      </c>
      <c r="G20">
        <f t="shared" si="3"/>
        <v>-3.6861161435180333E-2</v>
      </c>
      <c r="H20">
        <v>16489.837952000002</v>
      </c>
      <c r="I20">
        <f t="shared" si="2"/>
        <v>-448.79519999999684</v>
      </c>
      <c r="J20">
        <f t="shared" si="4"/>
        <v>-2.6495360987672502E-2</v>
      </c>
      <c r="K20">
        <f>'Shapley Decomposition'!R20</f>
        <v>4.4005047903872345</v>
      </c>
    </row>
    <row r="21" spans="1:11" x14ac:dyDescent="0.45">
      <c r="A21">
        <v>2019</v>
      </c>
      <c r="B21">
        <v>4.6081404958677696</v>
      </c>
      <c r="C21">
        <f t="shared" ref="C21" si="21">B21-B20</f>
        <v>-0.15325950413223044</v>
      </c>
      <c r="D21">
        <f t="shared" si="1"/>
        <v>-3.2187907785993709E-2</v>
      </c>
      <c r="E21">
        <v>13842.772999999999</v>
      </c>
      <c r="F21">
        <f t="shared" si="2"/>
        <v>-410.05708800000139</v>
      </c>
      <c r="G21">
        <f t="shared" si="3"/>
        <v>-2.8770222157159093E-2</v>
      </c>
      <c r="H21">
        <v>15847.115984</v>
      </c>
      <c r="I21">
        <f t="shared" si="2"/>
        <v>-642.72196800000165</v>
      </c>
      <c r="J21">
        <f t="shared" si="4"/>
        <v>-3.8976851675006779E-2</v>
      </c>
      <c r="K21">
        <f>'Shapley Decomposition'!R21</f>
        <v>4.4747183262075101</v>
      </c>
    </row>
    <row r="22" spans="1:11" x14ac:dyDescent="0.45">
      <c r="A22">
        <v>2020</v>
      </c>
      <c r="B22">
        <v>5.6760900000000012</v>
      </c>
      <c r="C22">
        <f t="shared" ref="C22" si="22">B22-B21</f>
        <v>1.0679495041322316</v>
      </c>
      <c r="D22">
        <f t="shared" si="1"/>
        <v>0.23175280898876402</v>
      </c>
      <c r="E22">
        <v>14880.71032</v>
      </c>
      <c r="F22">
        <f t="shared" si="2"/>
        <v>1037.9373200000009</v>
      </c>
      <c r="G22">
        <f t="shared" si="3"/>
        <v>7.4980447920369786E-2</v>
      </c>
      <c r="H22">
        <v>16115.212063999999</v>
      </c>
      <c r="I22">
        <f t="shared" si="2"/>
        <v>268.09607999999935</v>
      </c>
      <c r="J22">
        <f t="shared" si="4"/>
        <v>1.6917657463394718E-2</v>
      </c>
      <c r="K22">
        <f>'Shapley Decomposition'!R22</f>
        <v>6.2855109686685893</v>
      </c>
    </row>
    <row r="23" spans="1:11" x14ac:dyDescent="0.45">
      <c r="A23">
        <v>2021</v>
      </c>
      <c r="B23">
        <v>7.2427745664739902</v>
      </c>
      <c r="C23">
        <f t="shared" ref="C23" si="23">B23-B22</f>
        <v>1.566684566473989</v>
      </c>
      <c r="D23">
        <f t="shared" si="1"/>
        <v>0.27601475073051851</v>
      </c>
      <c r="E23">
        <v>14899.488856</v>
      </c>
      <c r="F23">
        <f t="shared" si="2"/>
        <v>18.778535999999804</v>
      </c>
      <c r="G23">
        <f t="shared" si="3"/>
        <v>1.2619381465117992E-3</v>
      </c>
      <c r="H23">
        <v>16276.384656</v>
      </c>
      <c r="I23">
        <f t="shared" si="2"/>
        <v>161.1725920000008</v>
      </c>
      <c r="J23">
        <f t="shared" si="4"/>
        <v>1.0001270312790146E-2</v>
      </c>
      <c r="K23">
        <f>'Shapley Decomposition'!R23</f>
        <v>7.2138051871225075</v>
      </c>
    </row>
    <row r="24" spans="1:11" x14ac:dyDescent="0.45">
      <c r="A24">
        <v>2022</v>
      </c>
      <c r="B24">
        <v>7.2008963093145875</v>
      </c>
      <c r="C24">
        <f t="shared" ref="C24" si="24">B24-B23</f>
        <v>-4.1878257159402743E-2</v>
      </c>
      <c r="D24">
        <f t="shared" si="1"/>
        <v>-5.7820738137084379E-3</v>
      </c>
      <c r="E24">
        <v>13705.772360000001</v>
      </c>
      <c r="F24">
        <f t="shared" si="2"/>
        <v>-1193.7164959999991</v>
      </c>
      <c r="G24">
        <f t="shared" si="3"/>
        <v>-8.0117949517395121E-2</v>
      </c>
      <c r="H24">
        <v>15065.976128</v>
      </c>
      <c r="I24">
        <f t="shared" si="2"/>
        <v>-1210.4085279999999</v>
      </c>
      <c r="J24">
        <f t="shared" si="4"/>
        <v>-7.4365932827337319E-2</v>
      </c>
      <c r="K24">
        <f>'Shapley Decomposition'!R24</f>
        <v>6.9935145332881046</v>
      </c>
    </row>
    <row r="25" spans="1:11" x14ac:dyDescent="0.45">
      <c r="A25">
        <v>2023</v>
      </c>
      <c r="B25">
        <v>4.7430532445923461</v>
      </c>
      <c r="C25">
        <f t="shared" ref="C25" si="25">B25-B24</f>
        <v>-2.4578430647222413</v>
      </c>
      <c r="D25">
        <f t="shared" si="1"/>
        <v>-0.34132460170867113</v>
      </c>
      <c r="E25">
        <v>14965.666464</v>
      </c>
      <c r="F25">
        <f t="shared" si="2"/>
        <v>1259.8941039999991</v>
      </c>
      <c r="G25">
        <f t="shared" si="3"/>
        <v>9.1924341869048742E-2</v>
      </c>
      <c r="H25">
        <v>16729.037919999999</v>
      </c>
      <c r="I25">
        <f t="shared" si="2"/>
        <v>1663.0617919999986</v>
      </c>
      <c r="J25">
        <f t="shared" si="4"/>
        <v>0.11038526663461327</v>
      </c>
      <c r="K25">
        <f>'Shapley Decomposition'!R25</f>
        <v>4.9461454327639949</v>
      </c>
    </row>
    <row r="26" spans="1:11" x14ac:dyDescent="0.45">
      <c r="A26">
        <v>2024</v>
      </c>
      <c r="B26">
        <v>4.3227990235964207</v>
      </c>
      <c r="C26">
        <f t="shared" ref="C26" si="26">B26-B25</f>
        <v>-0.42025422099592546</v>
      </c>
      <c r="D26">
        <f t="shared" si="1"/>
        <v>-8.8604154185927819E-2</v>
      </c>
      <c r="E26">
        <v>15145.066440000001</v>
      </c>
      <c r="F26">
        <f t="shared" si="2"/>
        <v>179.39997600000061</v>
      </c>
      <c r="G26">
        <f t="shared" si="3"/>
        <v>1.1987436472110903E-2</v>
      </c>
      <c r="H26">
        <v>16676.678479999999</v>
      </c>
      <c r="I26">
        <f t="shared" si="2"/>
        <v>-52.359440000000177</v>
      </c>
      <c r="J26">
        <f t="shared" si="4"/>
        <v>-3.1298536263943254E-3</v>
      </c>
      <c r="K26">
        <f>'Shapley Decomposition'!R26</f>
        <v>4.9333132059219942</v>
      </c>
    </row>
    <row r="27" spans="1:11" x14ac:dyDescent="0.45">
      <c r="A27">
        <v>2025</v>
      </c>
      <c r="B27">
        <v>4</v>
      </c>
      <c r="C27">
        <f t="shared" ref="C27" si="27">B27-B26</f>
        <v>-0.32279902359642065</v>
      </c>
      <c r="D27">
        <f t="shared" si="1"/>
        <v>-7.4673613516240439E-2</v>
      </c>
      <c r="E27">
        <v>16279.888408000001</v>
      </c>
      <c r="F27">
        <f t="shared" si="2"/>
        <v>1134.8219680000002</v>
      </c>
      <c r="G27">
        <f t="shared" si="3"/>
        <v>7.4930141277082446E-2</v>
      </c>
      <c r="H27">
        <v>18308.678919999998</v>
      </c>
      <c r="I27">
        <f t="shared" si="2"/>
        <v>1632.0004399999998</v>
      </c>
      <c r="J27">
        <f t="shared" si="4"/>
        <v>9.7861240291777812E-2</v>
      </c>
      <c r="K27">
        <f>'Shapley Decomposition'!R27</f>
        <v>4.3818943977850742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Shapley Decomposition</vt:lpstr>
      <vt:lpstr>chart1</vt:lpstr>
      <vt:lpstr>confidence elipse DISASTER</vt:lpstr>
      <vt:lpstr>guardrail data</vt:lpstr>
    </vt:vector>
  </TitlesOfParts>
  <Company>Murray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Young</dc:creator>
  <cp:lastModifiedBy>Jeffrey Young</cp:lastModifiedBy>
  <dcterms:created xsi:type="dcterms:W3CDTF">2026-03-03T16:06:28Z</dcterms:created>
  <dcterms:modified xsi:type="dcterms:W3CDTF">2026-03-16T18:40:34Z</dcterms:modified>
</cp:coreProperties>
</file>