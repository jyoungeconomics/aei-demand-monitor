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Soybean Demand\from David\New folder\cleaned\"/>
    </mc:Choice>
  </mc:AlternateContent>
  <xr:revisionPtr revIDLastSave="0" documentId="8_{B5F5A56D-51C0-4CBB-85DF-0520B9E4323D}" xr6:coauthVersionLast="47" xr6:coauthVersionMax="47" xr10:uidLastSave="{00000000-0000-0000-0000-000000000000}"/>
  <bookViews>
    <workbookView xWindow="-108" yWindow="-108" windowWidth="23256" windowHeight="12456" xr2:uid="{2B66F9AC-E261-D947-A7B5-00E26FA19D1A}"/>
  </bookViews>
  <sheets>
    <sheet name="Charts  ST Demand &amp; Market Tigh" sheetId="5" r:id="rId1"/>
    <sheet name="Est. Demand Index" sheetId="7" r:id="rId2"/>
    <sheet name="Tool Ideas" sheetId="6" r:id="rId3"/>
    <sheet name="Scoring.Eval" sheetId="2" r:id="rId4"/>
  </sheets>
  <definedNames>
    <definedName name="solver_adj" localSheetId="0" hidden="1">'Charts  ST Demand &amp; Market Tigh'!$O$1</definedName>
    <definedName name="solver_adj" localSheetId="2" hidden="1">'Tool Ideas'!$O$65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3</definedName>
    <definedName name="solver_eng" localSheetId="1" hidden="1">1</definedName>
    <definedName name="solver_eng" localSheetId="2" hidden="1">3</definedName>
    <definedName name="solver_itr" localSheetId="0" hidden="1">2147483647</definedName>
    <definedName name="solver_itr" localSheetId="2" hidden="1">2147483647</definedName>
    <definedName name="solver_lhs1" localSheetId="0" hidden="1">'Charts  ST Demand &amp; Market Tigh'!$O$1</definedName>
    <definedName name="solver_lhs1" localSheetId="2" hidden="1">'Tool Ideas'!$O$65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1</definedName>
    <definedName name="solver_num" localSheetId="1" hidden="1">0</definedName>
    <definedName name="solver_num" localSheetId="2" hidden="1">1</definedName>
    <definedName name="solver_opt" localSheetId="0" hidden="1">'Charts  ST Demand &amp; Market Tigh'!$S$55</definedName>
    <definedName name="solver_opt" localSheetId="1" hidden="1">'Est. Demand Index'!$M$10</definedName>
    <definedName name="solver_opt" localSheetId="2" hidden="1">'Tool Ideas'!#REF!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1</definedName>
    <definedName name="solver_rhs1" localSheetId="0" hidden="1">0.00001</definedName>
    <definedName name="solver_rhs1" localSheetId="2" hidden="1">0.00001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2</definedName>
    <definedName name="solver_typ" localSheetId="1" hidden="1">1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5" i="5" l="1"/>
  <c r="AC24" i="5"/>
  <c r="AC21" i="5"/>
  <c r="AC20" i="5"/>
  <c r="AC17" i="5"/>
  <c r="AC16" i="5"/>
  <c r="AC13" i="5"/>
  <c r="AC12" i="5"/>
  <c r="AC9" i="5"/>
  <c r="AC8" i="5"/>
  <c r="AC5" i="5"/>
  <c r="AC4" i="5"/>
  <c r="Q191" i="6"/>
  <c r="K27" i="7"/>
  <c r="Y4" i="6"/>
  <c r="Y5" i="6" s="1"/>
  <c r="V5" i="6" s="1"/>
  <c r="C53" i="7"/>
  <c r="D53" i="7" s="1"/>
  <c r="E53" i="7" s="1"/>
  <c r="I27" i="7" s="1"/>
  <c r="C52" i="7"/>
  <c r="D52" i="7" s="1"/>
  <c r="E52" i="7" s="1"/>
  <c r="I26" i="7" s="1"/>
  <c r="K26" i="7" s="1"/>
  <c r="C51" i="7"/>
  <c r="D51" i="7" s="1"/>
  <c r="E51" i="7" s="1"/>
  <c r="I25" i="7" s="1"/>
  <c r="K25" i="7" s="1"/>
  <c r="C50" i="7"/>
  <c r="D50" i="7" s="1"/>
  <c r="E50" i="7" s="1"/>
  <c r="I24" i="7" s="1"/>
  <c r="K24" i="7" s="1"/>
  <c r="C49" i="7"/>
  <c r="D49" i="7" s="1"/>
  <c r="E49" i="7" s="1"/>
  <c r="I23" i="7" s="1"/>
  <c r="K23" i="7" s="1"/>
  <c r="C48" i="7"/>
  <c r="D48" i="7" s="1"/>
  <c r="E48" i="7" s="1"/>
  <c r="I22" i="7" s="1"/>
  <c r="K22" i="7" s="1"/>
  <c r="C47" i="7"/>
  <c r="D47" i="7" s="1"/>
  <c r="E47" i="7" s="1"/>
  <c r="I21" i="7" s="1"/>
  <c r="K21" i="7" s="1"/>
  <c r="C46" i="7"/>
  <c r="D46" i="7" s="1"/>
  <c r="E46" i="7" s="1"/>
  <c r="I20" i="7" s="1"/>
  <c r="K20" i="7" s="1"/>
  <c r="C45" i="7"/>
  <c r="D45" i="7" s="1"/>
  <c r="E45" i="7" s="1"/>
  <c r="I19" i="7" s="1"/>
  <c r="K19" i="7" s="1"/>
  <c r="C44" i="7"/>
  <c r="D44" i="7" s="1"/>
  <c r="E44" i="7" s="1"/>
  <c r="I18" i="7" s="1"/>
  <c r="K18" i="7" s="1"/>
  <c r="C43" i="7"/>
  <c r="D43" i="7" s="1"/>
  <c r="E43" i="7" s="1"/>
  <c r="I17" i="7" s="1"/>
  <c r="K17" i="7" s="1"/>
  <c r="C42" i="7"/>
  <c r="D42" i="7" s="1"/>
  <c r="E42" i="7" s="1"/>
  <c r="I16" i="7" s="1"/>
  <c r="K16" i="7" s="1"/>
  <c r="C41" i="7"/>
  <c r="D41" i="7" s="1"/>
  <c r="E41" i="7" s="1"/>
  <c r="I15" i="7" s="1"/>
  <c r="K15" i="7" s="1"/>
  <c r="C40" i="7"/>
  <c r="D40" i="7" s="1"/>
  <c r="E40" i="7" s="1"/>
  <c r="I14" i="7" s="1"/>
  <c r="K14" i="7" s="1"/>
  <c r="C39" i="7"/>
  <c r="D39" i="7" s="1"/>
  <c r="E39" i="7" s="1"/>
  <c r="I13" i="7" s="1"/>
  <c r="K13" i="7" s="1"/>
  <c r="C38" i="7"/>
  <c r="D38" i="7" s="1"/>
  <c r="E38" i="7" s="1"/>
  <c r="I12" i="7" s="1"/>
  <c r="K12" i="7" s="1"/>
  <c r="C37" i="7"/>
  <c r="D37" i="7" s="1"/>
  <c r="E37" i="7" s="1"/>
  <c r="I11" i="7" s="1"/>
  <c r="K11" i="7" s="1"/>
  <c r="C36" i="7"/>
  <c r="D36" i="7" s="1"/>
  <c r="E36" i="7" s="1"/>
  <c r="C35" i="7"/>
  <c r="D35" i="7" s="1"/>
  <c r="E35" i="7" s="1"/>
  <c r="C34" i="7"/>
  <c r="D34" i="7" s="1"/>
  <c r="E34" i="7" s="1"/>
  <c r="C33" i="7"/>
  <c r="D33" i="7" s="1"/>
  <c r="E33" i="7" s="1"/>
  <c r="C32" i="7"/>
  <c r="D32" i="7" s="1"/>
  <c r="E32" i="7" s="1"/>
  <c r="C31" i="7"/>
  <c r="D31" i="7" s="1"/>
  <c r="E31" i="7" s="1"/>
  <c r="C30" i="7"/>
  <c r="D30" i="7" s="1"/>
  <c r="E30" i="7" s="1"/>
  <c r="C29" i="7"/>
  <c r="D29" i="7" s="1"/>
  <c r="E29" i="7" s="1"/>
  <c r="C28" i="7"/>
  <c r="D28" i="7" s="1"/>
  <c r="E28" i="7" s="1"/>
  <c r="D18" i="7"/>
  <c r="J27" i="7" s="1"/>
  <c r="D17" i="7"/>
  <c r="J26" i="7" s="1"/>
  <c r="D16" i="7"/>
  <c r="J25" i="7" s="1"/>
  <c r="D15" i="7"/>
  <c r="J24" i="7" s="1"/>
  <c r="D14" i="7"/>
  <c r="J23" i="7" s="1"/>
  <c r="D13" i="7"/>
  <c r="J22" i="7" s="1"/>
  <c r="D12" i="7"/>
  <c r="J21" i="7" s="1"/>
  <c r="J11" i="7"/>
  <c r="D11" i="7"/>
  <c r="J20" i="7" s="1"/>
  <c r="D10" i="7"/>
  <c r="J19" i="7" s="1"/>
  <c r="D9" i="7"/>
  <c r="J18" i="7" s="1"/>
  <c r="D8" i="7"/>
  <c r="J17" i="7" s="1"/>
  <c r="D7" i="7"/>
  <c r="J16" i="7" s="1"/>
  <c r="D6" i="7"/>
  <c r="J15" i="7" s="1"/>
  <c r="D5" i="7"/>
  <c r="J14" i="7" s="1"/>
  <c r="D4" i="7"/>
  <c r="J13" i="7" s="1"/>
  <c r="D3" i="7"/>
  <c r="J12" i="7" s="1"/>
  <c r="D2" i="7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99" i="2"/>
  <c r="N115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99" i="2"/>
  <c r="I116" i="6"/>
  <c r="C34" i="6"/>
  <c r="T194" i="6"/>
  <c r="AD160" i="6"/>
  <c r="AE160" i="6"/>
  <c r="AF160" i="6"/>
  <c r="T196" i="6"/>
  <c r="T197" i="6"/>
  <c r="T198" i="6"/>
  <c r="T199" i="6"/>
  <c r="T200" i="6"/>
  <c r="T203" i="6"/>
  <c r="T204" i="6"/>
  <c r="T206" i="6"/>
  <c r="T207" i="6"/>
  <c r="C163" i="6"/>
  <c r="C168" i="6"/>
  <c r="C169" i="6"/>
  <c r="C170" i="6"/>
  <c r="C171" i="6"/>
  <c r="C178" i="6"/>
  <c r="C162" i="6"/>
  <c r="B162" i="6"/>
  <c r="C130" i="6"/>
  <c r="C133" i="6"/>
  <c r="C134" i="6"/>
  <c r="C136" i="6"/>
  <c r="C137" i="6"/>
  <c r="C141" i="6"/>
  <c r="C142" i="6"/>
  <c r="C143" i="6"/>
  <c r="C144" i="6"/>
  <c r="C145" i="6"/>
  <c r="Y90" i="2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98" i="5"/>
  <c r="C66" i="5"/>
  <c r="C67" i="5"/>
  <c r="C131" i="6" s="1"/>
  <c r="C68" i="5"/>
  <c r="C132" i="6" s="1"/>
  <c r="C69" i="5"/>
  <c r="C70" i="5"/>
  <c r="C71" i="5"/>
  <c r="C135" i="6" s="1"/>
  <c r="C72" i="5"/>
  <c r="C73" i="5"/>
  <c r="C74" i="5"/>
  <c r="C138" i="6" s="1"/>
  <c r="C75" i="5"/>
  <c r="C139" i="6" s="1"/>
  <c r="C76" i="5"/>
  <c r="C140" i="6" s="1"/>
  <c r="C77" i="5"/>
  <c r="C78" i="5"/>
  <c r="C79" i="5"/>
  <c r="C80" i="5"/>
  <c r="C81" i="5"/>
  <c r="C65" i="5"/>
  <c r="C129" i="6" s="1"/>
  <c r="Q71" i="6"/>
  <c r="R71" i="6" s="1"/>
  <c r="Q70" i="6"/>
  <c r="R70" i="6" s="1"/>
  <c r="Q69" i="6"/>
  <c r="R69" i="6" s="1"/>
  <c r="Q68" i="6"/>
  <c r="Q67" i="6"/>
  <c r="R67" i="6" s="1"/>
  <c r="B177" i="6"/>
  <c r="B178" i="6"/>
  <c r="C35" i="6" s="1"/>
  <c r="C184" i="6"/>
  <c r="B184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Y94" i="2"/>
  <c r="Y95" i="2" s="1"/>
  <c r="Y93" i="2"/>
  <c r="Y91" i="2"/>
  <c r="Q89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M124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Q91" i="6"/>
  <c r="R91" i="6" s="1"/>
  <c r="L91" i="6"/>
  <c r="M91" i="6" s="1"/>
  <c r="H91" i="6"/>
  <c r="G91" i="6"/>
  <c r="F91" i="6"/>
  <c r="E91" i="6"/>
  <c r="Q90" i="6"/>
  <c r="R90" i="6" s="1"/>
  <c r="L90" i="6"/>
  <c r="M90" i="6" s="1"/>
  <c r="Q89" i="6"/>
  <c r="R89" i="6" s="1"/>
  <c r="L89" i="6"/>
  <c r="M89" i="6" s="1"/>
  <c r="Q88" i="6"/>
  <c r="R88" i="6" s="1"/>
  <c r="L88" i="6"/>
  <c r="M88" i="6" s="1"/>
  <c r="Q87" i="6"/>
  <c r="R87" i="6" s="1"/>
  <c r="L87" i="6"/>
  <c r="M87" i="6" s="1"/>
  <c r="Q86" i="6"/>
  <c r="R86" i="6" s="1"/>
  <c r="L86" i="6"/>
  <c r="M86" i="6" s="1"/>
  <c r="Q85" i="6"/>
  <c r="R85" i="6" s="1"/>
  <c r="L85" i="6"/>
  <c r="M85" i="6" s="1"/>
  <c r="Q84" i="6"/>
  <c r="R84" i="6" s="1"/>
  <c r="L84" i="6"/>
  <c r="M84" i="6" s="1"/>
  <c r="Q83" i="6"/>
  <c r="R83" i="6" s="1"/>
  <c r="L83" i="6"/>
  <c r="M83" i="6" s="1"/>
  <c r="Q82" i="6"/>
  <c r="R82" i="6" s="1"/>
  <c r="L82" i="6"/>
  <c r="M82" i="6" s="1"/>
  <c r="Q81" i="6"/>
  <c r="R81" i="6" s="1"/>
  <c r="L81" i="6"/>
  <c r="M81" i="6" s="1"/>
  <c r="Q80" i="6"/>
  <c r="R80" i="6" s="1"/>
  <c r="L80" i="6"/>
  <c r="M80" i="6" s="1"/>
  <c r="Q79" i="6"/>
  <c r="R79" i="6" s="1"/>
  <c r="L79" i="6"/>
  <c r="M79" i="6" s="1"/>
  <c r="Q78" i="6"/>
  <c r="R78" i="6" s="1"/>
  <c r="L78" i="6"/>
  <c r="M78" i="6" s="1"/>
  <c r="Q77" i="6"/>
  <c r="R77" i="6" s="1"/>
  <c r="L77" i="6"/>
  <c r="M77" i="6" s="1"/>
  <c r="Q76" i="6"/>
  <c r="R76" i="6" s="1"/>
  <c r="L76" i="6"/>
  <c r="M76" i="6" s="1"/>
  <c r="Q75" i="6"/>
  <c r="R75" i="6" s="1"/>
  <c r="L75" i="6"/>
  <c r="M75" i="6" s="1"/>
  <c r="Q74" i="6"/>
  <c r="R74" i="6" s="1"/>
  <c r="L74" i="6"/>
  <c r="M74" i="6" s="1"/>
  <c r="Q73" i="6"/>
  <c r="R73" i="6" s="1"/>
  <c r="L73" i="6"/>
  <c r="M73" i="6" s="1"/>
  <c r="Q72" i="6"/>
  <c r="R72" i="6" s="1"/>
  <c r="L72" i="6"/>
  <c r="M72" i="6" s="1"/>
  <c r="L71" i="6"/>
  <c r="M71" i="6" s="1"/>
  <c r="L70" i="6"/>
  <c r="M70" i="6" s="1"/>
  <c r="L69" i="6"/>
  <c r="M69" i="6" s="1"/>
  <c r="R68" i="6"/>
  <c r="L68" i="6"/>
  <c r="M68" i="6" s="1"/>
  <c r="L67" i="6"/>
  <c r="M67" i="6" s="1"/>
  <c r="Q66" i="6"/>
  <c r="R66" i="6" s="1"/>
  <c r="V66" i="6" s="1"/>
  <c r="O66" i="6"/>
  <c r="L66" i="6"/>
  <c r="M66" i="6" s="1"/>
  <c r="AC27" i="5"/>
  <c r="AB27" i="5"/>
  <c r="AC26" i="5"/>
  <c r="AB26" i="5"/>
  <c r="AB24" i="5"/>
  <c r="AC23" i="5"/>
  <c r="AB23" i="5"/>
  <c r="AC22" i="5"/>
  <c r="AB22" i="5"/>
  <c r="AC19" i="5"/>
  <c r="AB19" i="5"/>
  <c r="AC18" i="5"/>
  <c r="AB18" i="5"/>
  <c r="AB16" i="5"/>
  <c r="AC15" i="5"/>
  <c r="AB15" i="5"/>
  <c r="AC14" i="5"/>
  <c r="AB14" i="5"/>
  <c r="AC11" i="5"/>
  <c r="AB11" i="5"/>
  <c r="AC10" i="5"/>
  <c r="AB10" i="5"/>
  <c r="AB8" i="5"/>
  <c r="AC7" i="5"/>
  <c r="AB7" i="5"/>
  <c r="AC6" i="5"/>
  <c r="AB6" i="5"/>
  <c r="AC3" i="5"/>
  <c r="AB3" i="5"/>
  <c r="AC2" i="5"/>
  <c r="AB2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Q27" i="5"/>
  <c r="R27" i="5" s="1"/>
  <c r="L27" i="5"/>
  <c r="M27" i="5" s="1"/>
  <c r="H27" i="5"/>
  <c r="G27" i="5"/>
  <c r="F27" i="5"/>
  <c r="E27" i="5"/>
  <c r="Q26" i="5"/>
  <c r="R26" i="5" s="1"/>
  <c r="L26" i="5"/>
  <c r="M26" i="5" s="1"/>
  <c r="Q25" i="5"/>
  <c r="L25" i="5"/>
  <c r="M25" i="5" s="1"/>
  <c r="Q24" i="5"/>
  <c r="R24" i="5" s="1"/>
  <c r="L24" i="5"/>
  <c r="M24" i="5" s="1"/>
  <c r="Q23" i="5"/>
  <c r="R23" i="5" s="1"/>
  <c r="L23" i="5"/>
  <c r="M23" i="5" s="1"/>
  <c r="Q22" i="5"/>
  <c r="R22" i="5" s="1"/>
  <c r="L22" i="5"/>
  <c r="M22" i="5" s="1"/>
  <c r="Q21" i="5"/>
  <c r="L21" i="5"/>
  <c r="M21" i="5" s="1"/>
  <c r="Q20" i="5"/>
  <c r="L20" i="5"/>
  <c r="M20" i="5" s="1"/>
  <c r="Q19" i="5"/>
  <c r="R19" i="5" s="1"/>
  <c r="L19" i="5"/>
  <c r="M19" i="5" s="1"/>
  <c r="Q18" i="5"/>
  <c r="R18" i="5" s="1"/>
  <c r="L18" i="5"/>
  <c r="M18" i="5" s="1"/>
  <c r="Q17" i="5"/>
  <c r="L17" i="5"/>
  <c r="M17" i="5" s="1"/>
  <c r="Q16" i="5"/>
  <c r="R16" i="5" s="1"/>
  <c r="L16" i="5"/>
  <c r="M16" i="5" s="1"/>
  <c r="Q15" i="5"/>
  <c r="R15" i="5" s="1"/>
  <c r="L15" i="5"/>
  <c r="M15" i="5" s="1"/>
  <c r="Q14" i="5"/>
  <c r="R14" i="5" s="1"/>
  <c r="L14" i="5"/>
  <c r="M14" i="5" s="1"/>
  <c r="Q13" i="5"/>
  <c r="L13" i="5"/>
  <c r="M13" i="5" s="1"/>
  <c r="Q12" i="5"/>
  <c r="L12" i="5"/>
  <c r="M12" i="5" s="1"/>
  <c r="Q11" i="5"/>
  <c r="R11" i="5" s="1"/>
  <c r="L11" i="5"/>
  <c r="M11" i="5" s="1"/>
  <c r="Q10" i="5"/>
  <c r="R10" i="5" s="1"/>
  <c r="L10" i="5"/>
  <c r="M10" i="5" s="1"/>
  <c r="Q9" i="5"/>
  <c r="L9" i="5"/>
  <c r="M9" i="5" s="1"/>
  <c r="Q8" i="5"/>
  <c r="R8" i="5" s="1"/>
  <c r="L8" i="5"/>
  <c r="M8" i="5" s="1"/>
  <c r="Q7" i="5"/>
  <c r="R7" i="5" s="1"/>
  <c r="L7" i="5"/>
  <c r="M7" i="5" s="1"/>
  <c r="Q6" i="5"/>
  <c r="R6" i="5" s="1"/>
  <c r="L6" i="5"/>
  <c r="M6" i="5" s="1"/>
  <c r="Q5" i="5"/>
  <c r="L5" i="5"/>
  <c r="M5" i="5" s="1"/>
  <c r="Q4" i="5"/>
  <c r="L4" i="5"/>
  <c r="M4" i="5" s="1"/>
  <c r="Q3" i="5"/>
  <c r="R3" i="5" s="1"/>
  <c r="L3" i="5"/>
  <c r="M3" i="5" s="1"/>
  <c r="Q2" i="5"/>
  <c r="R2" i="5" s="1"/>
  <c r="O2" i="5"/>
  <c r="L2" i="5"/>
  <c r="M2" i="5" s="1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Z47" i="2"/>
  <c r="AC47" i="2" s="1"/>
  <c r="AD47" i="2" s="1"/>
  <c r="Z48" i="2"/>
  <c r="AC48" i="2" s="1"/>
  <c r="AD48" i="2" s="1"/>
  <c r="Z49" i="2"/>
  <c r="AC49" i="2" s="1"/>
  <c r="AD49" i="2" s="1"/>
  <c r="Z50" i="2"/>
  <c r="AC50" i="2" s="1"/>
  <c r="AD50" i="2" s="1"/>
  <c r="Z51" i="2"/>
  <c r="AC51" i="2" s="1"/>
  <c r="Z52" i="2"/>
  <c r="AC52" i="2" s="1"/>
  <c r="AD52" i="2" s="1"/>
  <c r="Z53" i="2"/>
  <c r="AC53" i="2" s="1"/>
  <c r="AD53" i="2" s="1"/>
  <c r="Z54" i="2"/>
  <c r="AC54" i="2" s="1"/>
  <c r="AD54" i="2" s="1"/>
  <c r="Z55" i="2"/>
  <c r="AC55" i="2" s="1"/>
  <c r="AD55" i="2" s="1"/>
  <c r="Z56" i="2"/>
  <c r="AC56" i="2" s="1"/>
  <c r="AD56" i="2" s="1"/>
  <c r="Z57" i="2"/>
  <c r="AC57" i="2" s="1"/>
  <c r="AD57" i="2" s="1"/>
  <c r="Z58" i="2"/>
  <c r="AC58" i="2" s="1"/>
  <c r="AD58" i="2" s="1"/>
  <c r="Z59" i="2"/>
  <c r="AC59" i="2" s="1"/>
  <c r="Z60" i="2"/>
  <c r="AC60" i="2" s="1"/>
  <c r="AD60" i="2" s="1"/>
  <c r="Z61" i="2"/>
  <c r="AC61" i="2" s="1"/>
  <c r="AD61" i="2" s="1"/>
  <c r="Z62" i="2"/>
  <c r="AC62" i="2" s="1"/>
  <c r="AD62" i="2" s="1"/>
  <c r="Z63" i="2"/>
  <c r="AC63" i="2" s="1"/>
  <c r="V31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27" i="2"/>
  <c r="R27" i="2" s="1"/>
  <c r="L27" i="2"/>
  <c r="M27" i="2" s="1"/>
  <c r="H27" i="2"/>
  <c r="G27" i="2"/>
  <c r="F27" i="2"/>
  <c r="E27" i="2"/>
  <c r="Q26" i="2"/>
  <c r="R26" i="2" s="1"/>
  <c r="L26" i="2"/>
  <c r="M26" i="2" s="1"/>
  <c r="Q25" i="2"/>
  <c r="R25" i="2" s="1"/>
  <c r="L25" i="2"/>
  <c r="M25" i="2" s="1"/>
  <c r="Q24" i="2"/>
  <c r="R24" i="2" s="1"/>
  <c r="L24" i="2"/>
  <c r="M24" i="2" s="1"/>
  <c r="Q23" i="2"/>
  <c r="R23" i="2" s="1"/>
  <c r="L23" i="2"/>
  <c r="M23" i="2" s="1"/>
  <c r="Q22" i="2"/>
  <c r="R22" i="2" s="1"/>
  <c r="L22" i="2"/>
  <c r="M22" i="2" s="1"/>
  <c r="Q21" i="2"/>
  <c r="R21" i="2" s="1"/>
  <c r="L21" i="2"/>
  <c r="M21" i="2" s="1"/>
  <c r="Q20" i="2"/>
  <c r="R20" i="2" s="1"/>
  <c r="L20" i="2"/>
  <c r="M20" i="2" s="1"/>
  <c r="Q19" i="2"/>
  <c r="R19" i="2" s="1"/>
  <c r="L19" i="2"/>
  <c r="M19" i="2" s="1"/>
  <c r="Q18" i="2"/>
  <c r="R18" i="2" s="1"/>
  <c r="L18" i="2"/>
  <c r="M18" i="2" s="1"/>
  <c r="Q17" i="2"/>
  <c r="R17" i="2" s="1"/>
  <c r="L17" i="2"/>
  <c r="M17" i="2" s="1"/>
  <c r="Q16" i="2"/>
  <c r="R16" i="2" s="1"/>
  <c r="L16" i="2"/>
  <c r="M16" i="2" s="1"/>
  <c r="Q15" i="2"/>
  <c r="R15" i="2" s="1"/>
  <c r="L15" i="2"/>
  <c r="M15" i="2" s="1"/>
  <c r="Q14" i="2"/>
  <c r="R14" i="2" s="1"/>
  <c r="L14" i="2"/>
  <c r="M14" i="2" s="1"/>
  <c r="Q13" i="2"/>
  <c r="R13" i="2" s="1"/>
  <c r="L13" i="2"/>
  <c r="M13" i="2" s="1"/>
  <c r="Q12" i="2"/>
  <c r="R12" i="2" s="1"/>
  <c r="L12" i="2"/>
  <c r="M12" i="2" s="1"/>
  <c r="Q11" i="2"/>
  <c r="R11" i="2" s="1"/>
  <c r="O2" i="2"/>
  <c r="L11" i="2"/>
  <c r="M11" i="2" s="1"/>
  <c r="Q10" i="2"/>
  <c r="R10" i="2" s="1"/>
  <c r="L10" i="2"/>
  <c r="M10" i="2" s="1"/>
  <c r="Q9" i="2"/>
  <c r="R9" i="2" s="1"/>
  <c r="L9" i="2"/>
  <c r="M9" i="2" s="1"/>
  <c r="Q8" i="2"/>
  <c r="R8" i="2" s="1"/>
  <c r="L8" i="2"/>
  <c r="M8" i="2" s="1"/>
  <c r="Q7" i="2"/>
  <c r="R7" i="2" s="1"/>
  <c r="L7" i="2"/>
  <c r="M7" i="2" s="1"/>
  <c r="Q6" i="2"/>
  <c r="R6" i="2" s="1"/>
  <c r="L6" i="2"/>
  <c r="M6" i="2" s="1"/>
  <c r="Q5" i="2"/>
  <c r="R5" i="2" s="1"/>
  <c r="L5" i="2"/>
  <c r="M5" i="2" s="1"/>
  <c r="Q4" i="2"/>
  <c r="R4" i="2" s="1"/>
  <c r="L4" i="2"/>
  <c r="M4" i="2" s="1"/>
  <c r="Q3" i="2"/>
  <c r="R3" i="2" s="1"/>
  <c r="L3" i="2"/>
  <c r="M3" i="2" s="1"/>
  <c r="Q2" i="2"/>
  <c r="R2" i="2" s="1"/>
  <c r="L2" i="2"/>
  <c r="M2" i="2" s="1"/>
  <c r="D108" i="5" l="1"/>
  <c r="E108" i="5" s="1"/>
  <c r="R4" i="5"/>
  <c r="R12" i="5"/>
  <c r="S12" i="5" s="1"/>
  <c r="B66" i="5" s="1"/>
  <c r="D66" i="5" s="1"/>
  <c r="E66" i="5" s="1"/>
  <c r="R20" i="5"/>
  <c r="S20" i="5" s="1"/>
  <c r="B74" i="5" s="1"/>
  <c r="D74" i="5" s="1"/>
  <c r="E74" i="5" s="1"/>
  <c r="AB4" i="5"/>
  <c r="AB12" i="5"/>
  <c r="AB20" i="5"/>
  <c r="R5" i="5"/>
  <c r="S5" i="5" s="1"/>
  <c r="R9" i="5"/>
  <c r="S9" i="5" s="1"/>
  <c r="R13" i="5"/>
  <c r="R17" i="5"/>
  <c r="R21" i="5"/>
  <c r="V21" i="5" s="1"/>
  <c r="W21" i="5" s="1"/>
  <c r="R25" i="5"/>
  <c r="V25" i="5" s="1"/>
  <c r="W25" i="5" s="1"/>
  <c r="AB5" i="5"/>
  <c r="AB9" i="5"/>
  <c r="AB13" i="5"/>
  <c r="AB17" i="5"/>
  <c r="AB21" i="5"/>
  <c r="AB25" i="5"/>
  <c r="P103" i="2"/>
  <c r="S103" i="2" s="1"/>
  <c r="D110" i="5"/>
  <c r="E110" i="5" s="1"/>
  <c r="C174" i="6"/>
  <c r="D174" i="6" s="1"/>
  <c r="E174" i="6" s="1"/>
  <c r="D102" i="5"/>
  <c r="E102" i="5" s="1"/>
  <c r="C166" i="6"/>
  <c r="D109" i="5"/>
  <c r="E109" i="5" s="1"/>
  <c r="C173" i="6"/>
  <c r="D101" i="5"/>
  <c r="E101" i="5" s="1"/>
  <c r="C165" i="6"/>
  <c r="D165" i="6" s="1"/>
  <c r="E165" i="6" s="1"/>
  <c r="D100" i="5"/>
  <c r="E100" i="5" s="1"/>
  <c r="C164" i="6"/>
  <c r="AA160" i="6"/>
  <c r="AI160" i="6"/>
  <c r="AJ160" i="6"/>
  <c r="AB160" i="6"/>
  <c r="T160" i="6"/>
  <c r="X160" i="6"/>
  <c r="AH160" i="6"/>
  <c r="Y160" i="6"/>
  <c r="Z160" i="6"/>
  <c r="AC160" i="6"/>
  <c r="D48" i="6"/>
  <c r="E48" i="6" s="1"/>
  <c r="C172" i="6"/>
  <c r="D172" i="6" s="1"/>
  <c r="E172" i="6" s="1"/>
  <c r="W160" i="6"/>
  <c r="V160" i="6"/>
  <c r="P108" i="2"/>
  <c r="S108" i="2" s="1"/>
  <c r="V6" i="6"/>
  <c r="P100" i="2"/>
  <c r="S100" i="2" s="1"/>
  <c r="U160" i="6"/>
  <c r="AG160" i="6"/>
  <c r="P112" i="2"/>
  <c r="S112" i="2" s="1"/>
  <c r="P104" i="2"/>
  <c r="S104" i="2" s="1"/>
  <c r="P106" i="2"/>
  <c r="S106" i="2" s="1"/>
  <c r="D113" i="5"/>
  <c r="E113" i="5" s="1"/>
  <c r="D105" i="5"/>
  <c r="E105" i="5" s="1"/>
  <c r="C177" i="6"/>
  <c r="D177" i="6" s="1"/>
  <c r="E177" i="6" s="1"/>
  <c r="P109" i="2"/>
  <c r="S109" i="2" s="1"/>
  <c r="D112" i="5"/>
  <c r="E112" i="5" s="1"/>
  <c r="D104" i="5"/>
  <c r="E104" i="5" s="1"/>
  <c r="V4" i="6"/>
  <c r="T193" i="6"/>
  <c r="T201" i="6"/>
  <c r="T192" i="6"/>
  <c r="T202" i="6"/>
  <c r="C176" i="6"/>
  <c r="T205" i="6"/>
  <c r="T195" i="6"/>
  <c r="T191" i="6"/>
  <c r="D111" i="5"/>
  <c r="E111" i="5" s="1"/>
  <c r="C175" i="6"/>
  <c r="D103" i="5"/>
  <c r="E103" i="5" s="1"/>
  <c r="C167" i="6"/>
  <c r="G167" i="6" s="1"/>
  <c r="D98" i="5"/>
  <c r="E98" i="5" s="1"/>
  <c r="D107" i="5"/>
  <c r="E107" i="5" s="1"/>
  <c r="D99" i="5"/>
  <c r="E99" i="5" s="1"/>
  <c r="AD59" i="2"/>
  <c r="AD51" i="2"/>
  <c r="D114" i="5"/>
  <c r="E114" i="5" s="1"/>
  <c r="D106" i="5"/>
  <c r="E106" i="5" s="1"/>
  <c r="V11" i="2"/>
  <c r="W11" i="2" s="1"/>
  <c r="D115" i="5"/>
  <c r="D116" i="5" s="1"/>
  <c r="S69" i="6"/>
  <c r="S67" i="6"/>
  <c r="V67" i="6"/>
  <c r="T122" i="6"/>
  <c r="AC122" i="6"/>
  <c r="AF122" i="6"/>
  <c r="AG122" i="6"/>
  <c r="AH122" i="6"/>
  <c r="AI122" i="6"/>
  <c r="AJ122" i="6"/>
  <c r="U122" i="6"/>
  <c r="V122" i="6"/>
  <c r="W122" i="6"/>
  <c r="X122" i="6"/>
  <c r="Y122" i="6"/>
  <c r="AD122" i="6"/>
  <c r="AA122" i="6"/>
  <c r="AE122" i="6"/>
  <c r="AB122" i="6"/>
  <c r="Z122" i="6"/>
  <c r="D178" i="6"/>
  <c r="E178" i="6" s="1"/>
  <c r="G178" i="6"/>
  <c r="V68" i="6"/>
  <c r="W68" i="6" s="1"/>
  <c r="S68" i="6"/>
  <c r="S164" i="6"/>
  <c r="S176" i="6"/>
  <c r="S177" i="6"/>
  <c r="S161" i="6"/>
  <c r="S162" i="6"/>
  <c r="S173" i="6"/>
  <c r="S165" i="6"/>
  <c r="S166" i="6"/>
  <c r="S169" i="6"/>
  <c r="S171" i="6"/>
  <c r="R123" i="6"/>
  <c r="S167" i="6"/>
  <c r="S163" i="6"/>
  <c r="S168" i="6"/>
  <c r="S170" i="6"/>
  <c r="S172" i="6"/>
  <c r="S174" i="6"/>
  <c r="S175" i="6"/>
  <c r="D163" i="6"/>
  <c r="E163" i="6" s="1"/>
  <c r="G163" i="6"/>
  <c r="D162" i="6"/>
  <c r="E162" i="6" s="1"/>
  <c r="G162" i="6"/>
  <c r="R128" i="6"/>
  <c r="R125" i="6"/>
  <c r="R126" i="6"/>
  <c r="AL126" i="6" s="1"/>
  <c r="R127" i="6"/>
  <c r="R124" i="6"/>
  <c r="AL124" i="6" s="1"/>
  <c r="R129" i="6"/>
  <c r="R130" i="6"/>
  <c r="R131" i="6"/>
  <c r="R132" i="6"/>
  <c r="R133" i="6"/>
  <c r="R134" i="6"/>
  <c r="R135" i="6"/>
  <c r="R136" i="6"/>
  <c r="R137" i="6"/>
  <c r="R138" i="6"/>
  <c r="R139" i="6"/>
  <c r="AV122" i="6"/>
  <c r="AO122" i="6"/>
  <c r="AP122" i="6"/>
  <c r="AQ122" i="6"/>
  <c r="AR122" i="6"/>
  <c r="AS122" i="6"/>
  <c r="AT122" i="6"/>
  <c r="AU122" i="6"/>
  <c r="AN122" i="6"/>
  <c r="AM122" i="6"/>
  <c r="BC122" i="6"/>
  <c r="BB122" i="6"/>
  <c r="BA122" i="6"/>
  <c r="AZ122" i="6"/>
  <c r="AY122" i="6"/>
  <c r="AX122" i="6"/>
  <c r="AW122" i="6"/>
  <c r="D184" i="6"/>
  <c r="E184" i="6" s="1"/>
  <c r="G184" i="6"/>
  <c r="D176" i="6"/>
  <c r="E176" i="6" s="1"/>
  <c r="G176" i="6"/>
  <c r="D175" i="6"/>
  <c r="E175" i="6" s="1"/>
  <c r="G175" i="6"/>
  <c r="D173" i="6"/>
  <c r="E173" i="6" s="1"/>
  <c r="G173" i="6"/>
  <c r="G172" i="6"/>
  <c r="D171" i="6"/>
  <c r="G171" i="6"/>
  <c r="D170" i="6"/>
  <c r="E170" i="6" s="1"/>
  <c r="G170" i="6"/>
  <c r="D169" i="6"/>
  <c r="E169" i="6" s="1"/>
  <c r="G169" i="6"/>
  <c r="D168" i="6"/>
  <c r="E168" i="6" s="1"/>
  <c r="G168" i="6"/>
  <c r="D167" i="6"/>
  <c r="E167" i="6" s="1"/>
  <c r="D166" i="6"/>
  <c r="E166" i="6" s="1"/>
  <c r="G166" i="6"/>
  <c r="D164" i="6"/>
  <c r="E164" i="6" s="1"/>
  <c r="G164" i="6"/>
  <c r="Y92" i="2"/>
  <c r="Z76" i="2" s="1"/>
  <c r="AD63" i="2"/>
  <c r="AD64" i="2" s="1" a="1"/>
  <c r="AD64" i="2" s="1"/>
  <c r="AE64" i="2" s="1"/>
  <c r="Z85" i="2"/>
  <c r="Z84" i="2"/>
  <c r="Z81" i="2"/>
  <c r="Z80" i="2"/>
  <c r="Z78" i="2"/>
  <c r="Z77" i="2"/>
  <c r="Z75" i="2"/>
  <c r="Z74" i="2"/>
  <c r="Z73" i="2"/>
  <c r="V2" i="2"/>
  <c r="W2" i="2" s="1"/>
  <c r="R28" i="2"/>
  <c r="P115" i="6"/>
  <c r="N115" i="6"/>
  <c r="P114" i="6"/>
  <c r="N114" i="6"/>
  <c r="N116" i="6" s="1"/>
  <c r="N113" i="6"/>
  <c r="P113" i="6"/>
  <c r="P112" i="6"/>
  <c r="N112" i="6"/>
  <c r="P111" i="6"/>
  <c r="N111" i="6"/>
  <c r="P110" i="6"/>
  <c r="N110" i="6"/>
  <c r="P109" i="6"/>
  <c r="N109" i="6"/>
  <c r="P108" i="6"/>
  <c r="N108" i="6"/>
  <c r="P107" i="6"/>
  <c r="N107" i="6"/>
  <c r="P106" i="6"/>
  <c r="N106" i="6"/>
  <c r="P105" i="6"/>
  <c r="N105" i="6"/>
  <c r="N104" i="6"/>
  <c r="P104" i="6"/>
  <c r="N103" i="6"/>
  <c r="P103" i="6"/>
  <c r="N102" i="6"/>
  <c r="P102" i="6"/>
  <c r="N101" i="6"/>
  <c r="P101" i="6"/>
  <c r="N100" i="6"/>
  <c r="P100" i="6"/>
  <c r="N99" i="6"/>
  <c r="P99" i="6"/>
  <c r="Q99" i="6" s="1"/>
  <c r="S91" i="6"/>
  <c r="B145" i="6" s="1"/>
  <c r="V91" i="6"/>
  <c r="W91" i="6" s="1"/>
  <c r="S90" i="6"/>
  <c r="B144" i="6" s="1"/>
  <c r="V90" i="6"/>
  <c r="W90" i="6" s="1"/>
  <c r="S89" i="6"/>
  <c r="B143" i="6" s="1"/>
  <c r="D143" i="6" s="1"/>
  <c r="V89" i="6"/>
  <c r="W89" i="6" s="1"/>
  <c r="S88" i="6"/>
  <c r="B142" i="6" s="1"/>
  <c r="D142" i="6" s="1"/>
  <c r="V88" i="6"/>
  <c r="W88" i="6" s="1"/>
  <c r="S87" i="6"/>
  <c r="B141" i="6" s="1"/>
  <c r="D141" i="6" s="1"/>
  <c r="V87" i="6"/>
  <c r="W87" i="6" s="1"/>
  <c r="S86" i="6"/>
  <c r="B140" i="6" s="1"/>
  <c r="D140" i="6" s="1"/>
  <c r="V86" i="6"/>
  <c r="W86" i="6" s="1"/>
  <c r="S85" i="6"/>
  <c r="B139" i="6" s="1"/>
  <c r="D139" i="6" s="1"/>
  <c r="V85" i="6"/>
  <c r="W85" i="6" s="1"/>
  <c r="S84" i="6"/>
  <c r="B138" i="6" s="1"/>
  <c r="D138" i="6" s="1"/>
  <c r="V84" i="6"/>
  <c r="W84" i="6" s="1"/>
  <c r="S83" i="6"/>
  <c r="B137" i="6" s="1"/>
  <c r="D137" i="6" s="1"/>
  <c r="V83" i="6"/>
  <c r="W83" i="6" s="1"/>
  <c r="S82" i="6"/>
  <c r="B136" i="6" s="1"/>
  <c r="D136" i="6" s="1"/>
  <c r="V82" i="6"/>
  <c r="W82" i="6" s="1"/>
  <c r="S81" i="6"/>
  <c r="B135" i="6" s="1"/>
  <c r="D135" i="6" s="1"/>
  <c r="V81" i="6"/>
  <c r="W81" i="6" s="1"/>
  <c r="S80" i="6"/>
  <c r="B134" i="6" s="1"/>
  <c r="D134" i="6" s="1"/>
  <c r="V80" i="6"/>
  <c r="W80" i="6" s="1"/>
  <c r="S79" i="6"/>
  <c r="B133" i="6" s="1"/>
  <c r="D133" i="6" s="1"/>
  <c r="V79" i="6"/>
  <c r="W79" i="6" s="1"/>
  <c r="S78" i="6"/>
  <c r="B132" i="6" s="1"/>
  <c r="D132" i="6" s="1"/>
  <c r="V78" i="6"/>
  <c r="W78" i="6" s="1"/>
  <c r="S77" i="6"/>
  <c r="B131" i="6" s="1"/>
  <c r="D131" i="6" s="1"/>
  <c r="V77" i="6"/>
  <c r="W77" i="6" s="1"/>
  <c r="S76" i="6"/>
  <c r="B130" i="6" s="1"/>
  <c r="D130" i="6" s="1"/>
  <c r="V76" i="6"/>
  <c r="W76" i="6" s="1"/>
  <c r="S75" i="6"/>
  <c r="B129" i="6" s="1"/>
  <c r="D129" i="6" s="1"/>
  <c r="V75" i="6"/>
  <c r="W75" i="6" s="1"/>
  <c r="U207" i="6" s="1"/>
  <c r="N126" i="6"/>
  <c r="N127" i="6" s="1"/>
  <c r="S74" i="6"/>
  <c r="V74" i="6"/>
  <c r="W74" i="6" s="1"/>
  <c r="S73" i="6"/>
  <c r="V73" i="6"/>
  <c r="W73" i="6" s="1"/>
  <c r="S72" i="6"/>
  <c r="V72" i="6"/>
  <c r="W72" i="6" s="1"/>
  <c r="S71" i="6"/>
  <c r="V71" i="6"/>
  <c r="W71" i="6" s="1"/>
  <c r="S70" i="6"/>
  <c r="V70" i="6"/>
  <c r="W70" i="6" s="1"/>
  <c r="V69" i="6"/>
  <c r="W69" i="6" s="1"/>
  <c r="W67" i="6"/>
  <c r="S66" i="6"/>
  <c r="W66" i="6"/>
  <c r="R93" i="6"/>
  <c r="AC28" i="5"/>
  <c r="AD2" i="5" s="1"/>
  <c r="S27" i="5"/>
  <c r="B81" i="5" s="1"/>
  <c r="V27" i="5"/>
  <c r="W27" i="5" s="1"/>
  <c r="S26" i="5"/>
  <c r="B80" i="5" s="1"/>
  <c r="D80" i="5" s="1"/>
  <c r="E80" i="5" s="1"/>
  <c r="V26" i="5"/>
  <c r="W26" i="5" s="1"/>
  <c r="V24" i="5"/>
  <c r="W24" i="5" s="1"/>
  <c r="S24" i="5"/>
  <c r="B78" i="5" s="1"/>
  <c r="D78" i="5" s="1"/>
  <c r="E78" i="5" s="1"/>
  <c r="V23" i="5"/>
  <c r="W23" i="5" s="1"/>
  <c r="S23" i="5"/>
  <c r="B77" i="5" s="1"/>
  <c r="D77" i="5" s="1"/>
  <c r="E77" i="5" s="1"/>
  <c r="S22" i="5"/>
  <c r="B76" i="5" s="1"/>
  <c r="D76" i="5" s="1"/>
  <c r="E76" i="5" s="1"/>
  <c r="V22" i="5"/>
  <c r="W22" i="5" s="1"/>
  <c r="V19" i="5"/>
  <c r="W19" i="5" s="1"/>
  <c r="S19" i="5"/>
  <c r="B73" i="5" s="1"/>
  <c r="D73" i="5" s="1"/>
  <c r="E73" i="5" s="1"/>
  <c r="S18" i="5"/>
  <c r="B72" i="5" s="1"/>
  <c r="D72" i="5" s="1"/>
  <c r="E72" i="5" s="1"/>
  <c r="V18" i="5"/>
  <c r="W18" i="5" s="1"/>
  <c r="V17" i="5"/>
  <c r="W17" i="5" s="1"/>
  <c r="S17" i="5"/>
  <c r="B71" i="5" s="1"/>
  <c r="D71" i="5" s="1"/>
  <c r="E71" i="5" s="1"/>
  <c r="S16" i="5"/>
  <c r="B70" i="5" s="1"/>
  <c r="D70" i="5" s="1"/>
  <c r="E70" i="5" s="1"/>
  <c r="V16" i="5"/>
  <c r="W16" i="5" s="1"/>
  <c r="V15" i="5"/>
  <c r="W15" i="5" s="1"/>
  <c r="S15" i="5"/>
  <c r="B69" i="5" s="1"/>
  <c r="D69" i="5" s="1"/>
  <c r="E69" i="5" s="1"/>
  <c r="S14" i="5"/>
  <c r="B68" i="5" s="1"/>
  <c r="D68" i="5" s="1"/>
  <c r="E68" i="5" s="1"/>
  <c r="V14" i="5"/>
  <c r="W14" i="5" s="1"/>
  <c r="V13" i="5"/>
  <c r="W13" i="5" s="1"/>
  <c r="S13" i="5"/>
  <c r="B67" i="5" s="1"/>
  <c r="D67" i="5" s="1"/>
  <c r="E67" i="5" s="1"/>
  <c r="V12" i="5"/>
  <c r="W12" i="5" s="1"/>
  <c r="S11" i="5"/>
  <c r="V11" i="5"/>
  <c r="W11" i="5" s="1"/>
  <c r="V10" i="5"/>
  <c r="W10" i="5" s="1"/>
  <c r="S10" i="5"/>
  <c r="S8" i="5"/>
  <c r="V8" i="5"/>
  <c r="W8" i="5" s="1"/>
  <c r="S7" i="5"/>
  <c r="V7" i="5"/>
  <c r="W7" i="5" s="1"/>
  <c r="S6" i="5"/>
  <c r="V6" i="5"/>
  <c r="W6" i="5" s="1"/>
  <c r="S4" i="5"/>
  <c r="V4" i="5"/>
  <c r="W4" i="5" s="1"/>
  <c r="S3" i="5"/>
  <c r="V3" i="5"/>
  <c r="W3" i="5" s="1"/>
  <c r="S2" i="5"/>
  <c r="V2" i="5"/>
  <c r="W2" i="5" s="1"/>
  <c r="V27" i="2"/>
  <c r="W27" i="2" s="1"/>
  <c r="V26" i="2"/>
  <c r="W26" i="2" s="1"/>
  <c r="V25" i="2"/>
  <c r="W25" i="2" s="1"/>
  <c r="V24" i="2"/>
  <c r="W24" i="2" s="1"/>
  <c r="V23" i="2"/>
  <c r="W23" i="2" s="1"/>
  <c r="V22" i="2"/>
  <c r="W22" i="2" s="1"/>
  <c r="V21" i="2"/>
  <c r="W21" i="2" s="1"/>
  <c r="V20" i="2"/>
  <c r="W20" i="2" s="1"/>
  <c r="V19" i="2"/>
  <c r="W19" i="2" s="1"/>
  <c r="V18" i="2"/>
  <c r="W18" i="2" s="1"/>
  <c r="V17" i="2"/>
  <c r="W17" i="2" s="1"/>
  <c r="V16" i="2"/>
  <c r="W16" i="2" s="1"/>
  <c r="V15" i="2"/>
  <c r="W15" i="2" s="1"/>
  <c r="V14" i="2"/>
  <c r="W14" i="2" s="1"/>
  <c r="V13" i="2"/>
  <c r="W13" i="2" s="1"/>
  <c r="V12" i="2"/>
  <c r="W12" i="2" s="1"/>
  <c r="V10" i="2"/>
  <c r="W10" i="2" s="1"/>
  <c r="V9" i="2"/>
  <c r="W9" i="2" s="1"/>
  <c r="V8" i="2"/>
  <c r="W8" i="2" s="1"/>
  <c r="V7" i="2"/>
  <c r="W7" i="2" s="1"/>
  <c r="V6" i="2"/>
  <c r="W6" i="2" s="1"/>
  <c r="V5" i="2"/>
  <c r="W5" i="2" s="1"/>
  <c r="V4" i="2"/>
  <c r="W4" i="2" s="1"/>
  <c r="V3" i="2"/>
  <c r="W3" i="2" s="1"/>
  <c r="V20" i="5" l="1"/>
  <c r="W20" i="5" s="1"/>
  <c r="S21" i="5"/>
  <c r="B75" i="5" s="1"/>
  <c r="D75" i="5" s="1"/>
  <c r="E75" i="5" s="1"/>
  <c r="S25" i="5"/>
  <c r="B79" i="5" s="1"/>
  <c r="D79" i="5" s="1"/>
  <c r="E79" i="5" s="1"/>
  <c r="R29" i="5"/>
  <c r="X7" i="5"/>
  <c r="X3" i="5"/>
  <c r="V5" i="5"/>
  <c r="W5" i="5" s="1"/>
  <c r="X5" i="5" s="1"/>
  <c r="V9" i="5"/>
  <c r="W9" i="5" s="1"/>
  <c r="X9" i="5" s="1"/>
  <c r="X2" i="5"/>
  <c r="X6" i="5"/>
  <c r="X10" i="5"/>
  <c r="X4" i="5"/>
  <c r="X8" i="5"/>
  <c r="Z79" i="2"/>
  <c r="X128" i="6"/>
  <c r="X136" i="6"/>
  <c r="X130" i="6"/>
  <c r="X138" i="6"/>
  <c r="X129" i="6"/>
  <c r="X137" i="6"/>
  <c r="X139" i="6"/>
  <c r="X132" i="6"/>
  <c r="X126" i="6"/>
  <c r="X135" i="6"/>
  <c r="X124" i="6"/>
  <c r="AQ124" i="6" s="1"/>
  <c r="BI124" i="6" s="1"/>
  <c r="X162" i="6" s="1"/>
  <c r="X131" i="6"/>
  <c r="X125" i="6"/>
  <c r="X133" i="6"/>
  <c r="X134" i="6"/>
  <c r="X123" i="6"/>
  <c r="X127" i="6"/>
  <c r="U202" i="6"/>
  <c r="X72" i="6"/>
  <c r="Z72" i="6" s="1"/>
  <c r="D35" i="6"/>
  <c r="D145" i="6"/>
  <c r="D148" i="6" s="1"/>
  <c r="Z82" i="2"/>
  <c r="W129" i="6"/>
  <c r="W137" i="6"/>
  <c r="W131" i="6"/>
  <c r="W130" i="6"/>
  <c r="W138" i="6"/>
  <c r="W123" i="6"/>
  <c r="W139" i="6"/>
  <c r="W126" i="6"/>
  <c r="W135" i="6"/>
  <c r="W124" i="6"/>
  <c r="W133" i="6"/>
  <c r="W125" i="6"/>
  <c r="W136" i="6"/>
  <c r="W134" i="6"/>
  <c r="W127" i="6"/>
  <c r="W128" i="6"/>
  <c r="W132" i="6"/>
  <c r="AC139" i="6"/>
  <c r="AC131" i="6"/>
  <c r="AC124" i="6"/>
  <c r="AC132" i="6"/>
  <c r="AC125" i="6"/>
  <c r="AC133" i="6"/>
  <c r="AC134" i="6"/>
  <c r="AC123" i="6"/>
  <c r="AC128" i="6"/>
  <c r="AC137" i="6"/>
  <c r="AC126" i="6"/>
  <c r="AC127" i="6"/>
  <c r="AC138" i="6"/>
  <c r="AC135" i="6"/>
  <c r="AC136" i="6"/>
  <c r="AC129" i="6"/>
  <c r="AC130" i="6"/>
  <c r="Z83" i="2"/>
  <c r="AB83" i="2" s="1"/>
  <c r="AE83" i="2" s="1"/>
  <c r="Z126" i="6"/>
  <c r="Z134" i="6"/>
  <c r="Z136" i="6"/>
  <c r="Z127" i="6"/>
  <c r="Z135" i="6"/>
  <c r="Z128" i="6"/>
  <c r="Z125" i="6"/>
  <c r="Z129" i="6"/>
  <c r="Z138" i="6"/>
  <c r="Z139" i="6"/>
  <c r="Z132" i="6"/>
  <c r="Z137" i="6"/>
  <c r="Z130" i="6"/>
  <c r="Z131" i="6"/>
  <c r="Z124" i="6"/>
  <c r="Z133" i="6"/>
  <c r="Z123" i="6"/>
  <c r="V130" i="6"/>
  <c r="V138" i="6"/>
  <c r="V123" i="6"/>
  <c r="V132" i="6"/>
  <c r="V139" i="6"/>
  <c r="V131" i="6"/>
  <c r="V124" i="6"/>
  <c r="AO124" i="6" s="1"/>
  <c r="BG124" i="6" s="1"/>
  <c r="V162" i="6" s="1"/>
  <c r="V129" i="6"/>
  <c r="V133" i="6"/>
  <c r="V127" i="6"/>
  <c r="V136" i="6"/>
  <c r="V137" i="6"/>
  <c r="V134" i="6"/>
  <c r="V135" i="6"/>
  <c r="V128" i="6"/>
  <c r="V125" i="6"/>
  <c r="V126" i="6"/>
  <c r="T124" i="6"/>
  <c r="AM124" i="6" s="1"/>
  <c r="BE124" i="6" s="1"/>
  <c r="T162" i="6" s="1"/>
  <c r="T132" i="6"/>
  <c r="T126" i="6"/>
  <c r="T134" i="6"/>
  <c r="T125" i="6"/>
  <c r="T133" i="6"/>
  <c r="T127" i="6"/>
  <c r="T136" i="6"/>
  <c r="T130" i="6"/>
  <c r="T131" i="6"/>
  <c r="T135" i="6"/>
  <c r="T128" i="6"/>
  <c r="T129" i="6"/>
  <c r="T139" i="6"/>
  <c r="T123" i="6"/>
  <c r="T137" i="6"/>
  <c r="T138" i="6"/>
  <c r="U200" i="6"/>
  <c r="U191" i="6"/>
  <c r="U193" i="6"/>
  <c r="F5" i="6"/>
  <c r="X73" i="6"/>
  <c r="Z73" i="6" s="1"/>
  <c r="Z86" i="2"/>
  <c r="G165" i="6"/>
  <c r="G177" i="6"/>
  <c r="S123" i="6"/>
  <c r="AB124" i="6"/>
  <c r="AB132" i="6"/>
  <c r="AB126" i="6"/>
  <c r="AB134" i="6"/>
  <c r="AB125" i="6"/>
  <c r="AB133" i="6"/>
  <c r="AB128" i="6"/>
  <c r="AB137" i="6"/>
  <c r="AB131" i="6"/>
  <c r="AB135" i="6"/>
  <c r="AB138" i="6"/>
  <c r="AB123" i="6"/>
  <c r="AB136" i="6"/>
  <c r="AB129" i="6"/>
  <c r="AB130" i="6"/>
  <c r="AB139" i="6"/>
  <c r="AB127" i="6"/>
  <c r="U139" i="6"/>
  <c r="U131" i="6"/>
  <c r="U125" i="6"/>
  <c r="U133" i="6"/>
  <c r="U124" i="6"/>
  <c r="U132" i="6"/>
  <c r="U127" i="6"/>
  <c r="U136" i="6"/>
  <c r="U130" i="6"/>
  <c r="U123" i="6"/>
  <c r="U134" i="6"/>
  <c r="U135" i="6"/>
  <c r="U128" i="6"/>
  <c r="U129" i="6"/>
  <c r="U126" i="6"/>
  <c r="U137" i="6"/>
  <c r="U138" i="6"/>
  <c r="U199" i="6"/>
  <c r="E21" i="6" s="1"/>
  <c r="U194" i="6"/>
  <c r="Z191" i="6" s="1"/>
  <c r="AA191" i="6" s="1"/>
  <c r="I20" i="6" s="1"/>
  <c r="Z87" i="2"/>
  <c r="AE129" i="6"/>
  <c r="AE137" i="6"/>
  <c r="AE139" i="6"/>
  <c r="AE130" i="6"/>
  <c r="AE138" i="6"/>
  <c r="AE123" i="6"/>
  <c r="AE131" i="6"/>
  <c r="AE127" i="6"/>
  <c r="AE136" i="6"/>
  <c r="AE125" i="6"/>
  <c r="AE134" i="6"/>
  <c r="AE132" i="6"/>
  <c r="AE133" i="6"/>
  <c r="AE126" i="6"/>
  <c r="AE124" i="6"/>
  <c r="AX124" i="6" s="1"/>
  <c r="BP124" i="6" s="1"/>
  <c r="AE162" i="6" s="1"/>
  <c r="AE135" i="6"/>
  <c r="AE128" i="6"/>
  <c r="AJ124" i="6"/>
  <c r="BC124" i="6" s="1"/>
  <c r="BU124" i="6" s="1"/>
  <c r="AJ162" i="6" s="1"/>
  <c r="AJ132" i="6"/>
  <c r="AJ134" i="6"/>
  <c r="AJ125" i="6"/>
  <c r="AJ133" i="6"/>
  <c r="AJ126" i="6"/>
  <c r="AJ129" i="6"/>
  <c r="AJ139" i="6"/>
  <c r="AJ138" i="6"/>
  <c r="AJ127" i="6"/>
  <c r="AJ136" i="6"/>
  <c r="AJ135" i="6"/>
  <c r="AJ128" i="6"/>
  <c r="AJ123" i="6"/>
  <c r="AJ137" i="6"/>
  <c r="AJ130" i="6"/>
  <c r="AJ131" i="6"/>
  <c r="U197" i="6"/>
  <c r="U198" i="6"/>
  <c r="U195" i="6"/>
  <c r="X74" i="6"/>
  <c r="Z74" i="6" s="1"/>
  <c r="Z88" i="2"/>
  <c r="G174" i="6"/>
  <c r="AA125" i="6"/>
  <c r="AA133" i="6"/>
  <c r="AA127" i="6"/>
  <c r="AA126" i="6"/>
  <c r="AA134" i="6"/>
  <c r="AA135" i="6"/>
  <c r="AA131" i="6"/>
  <c r="AA129" i="6"/>
  <c r="AA138" i="6"/>
  <c r="AA139" i="6"/>
  <c r="AA132" i="6"/>
  <c r="AA123" i="6"/>
  <c r="AA136" i="6"/>
  <c r="AA137" i="6"/>
  <c r="AA130" i="6"/>
  <c r="AA124" i="6"/>
  <c r="AT124" i="6" s="1"/>
  <c r="BL124" i="6" s="1"/>
  <c r="AA162" i="6" s="1"/>
  <c r="AA128" i="6"/>
  <c r="AI125" i="6"/>
  <c r="AI133" i="6"/>
  <c r="AI127" i="6"/>
  <c r="AI135" i="6"/>
  <c r="AI126" i="6"/>
  <c r="AI134" i="6"/>
  <c r="AI139" i="6"/>
  <c r="AI132" i="6"/>
  <c r="AI138" i="6"/>
  <c r="AI136" i="6"/>
  <c r="AI130" i="6"/>
  <c r="AI128" i="6"/>
  <c r="AI129" i="6"/>
  <c r="AI123" i="6"/>
  <c r="AI137" i="6"/>
  <c r="AI131" i="6"/>
  <c r="AI124" i="6"/>
  <c r="U196" i="6"/>
  <c r="Y191" i="6" s="1"/>
  <c r="P99" i="2"/>
  <c r="S99" i="2" s="1"/>
  <c r="P105" i="2"/>
  <c r="S105" i="2" s="1"/>
  <c r="U205" i="6"/>
  <c r="P102" i="2"/>
  <c r="S102" i="2" s="1"/>
  <c r="U206" i="6"/>
  <c r="P115" i="2"/>
  <c r="S115" i="2" s="1"/>
  <c r="P111" i="2"/>
  <c r="S111" i="2" s="1"/>
  <c r="B65" i="5"/>
  <c r="D65" i="5" s="1"/>
  <c r="Z89" i="2"/>
  <c r="AD130" i="6"/>
  <c r="AD138" i="6"/>
  <c r="AD123" i="6"/>
  <c r="AD124" i="6"/>
  <c r="AW124" i="6" s="1"/>
  <c r="BO124" i="6" s="1"/>
  <c r="AD162" i="6" s="1"/>
  <c r="AD132" i="6"/>
  <c r="AD139" i="6"/>
  <c r="AD131" i="6"/>
  <c r="AD125" i="6"/>
  <c r="AD134" i="6"/>
  <c r="AD128" i="6"/>
  <c r="AD137" i="6"/>
  <c r="AD133" i="6"/>
  <c r="AD126" i="6"/>
  <c r="AD127" i="6"/>
  <c r="AD135" i="6"/>
  <c r="AD136" i="6"/>
  <c r="AD129" i="6"/>
  <c r="AH126" i="6"/>
  <c r="AH134" i="6"/>
  <c r="AH128" i="6"/>
  <c r="AH136" i="6"/>
  <c r="AH127" i="6"/>
  <c r="AH135" i="6"/>
  <c r="AH130" i="6"/>
  <c r="AH124" i="6"/>
  <c r="BA124" i="6" s="1"/>
  <c r="BS124" i="6" s="1"/>
  <c r="AH162" i="6" s="1"/>
  <c r="AH133" i="6"/>
  <c r="AH139" i="6"/>
  <c r="AH123" i="6"/>
  <c r="AH137" i="6"/>
  <c r="AH131" i="6"/>
  <c r="AH132" i="6"/>
  <c r="AH138" i="6"/>
  <c r="AH125" i="6"/>
  <c r="AH129" i="6"/>
  <c r="D117" i="5"/>
  <c r="P114" i="2"/>
  <c r="S114" i="2" s="1"/>
  <c r="P110" i="2"/>
  <c r="S110" i="2" s="1"/>
  <c r="P107" i="2"/>
  <c r="S107" i="2" s="1"/>
  <c r="U204" i="6"/>
  <c r="AF128" i="6"/>
  <c r="AF136" i="6"/>
  <c r="AF129" i="6"/>
  <c r="AF137" i="6"/>
  <c r="AF130" i="6"/>
  <c r="AF124" i="6"/>
  <c r="AY124" i="6" s="1"/>
  <c r="BQ124" i="6" s="1"/>
  <c r="AF162" i="6" s="1"/>
  <c r="AF133" i="6"/>
  <c r="AF127" i="6"/>
  <c r="AF123" i="6"/>
  <c r="AF131" i="6"/>
  <c r="AF132" i="6"/>
  <c r="AF138" i="6"/>
  <c r="AF125" i="6"/>
  <c r="AF126" i="6"/>
  <c r="AF139" i="6"/>
  <c r="AF134" i="6"/>
  <c r="AF135" i="6"/>
  <c r="U192" i="6"/>
  <c r="X191" i="6" s="1"/>
  <c r="D118" i="5"/>
  <c r="U201" i="6"/>
  <c r="D144" i="6"/>
  <c r="D149" i="6" s="1"/>
  <c r="D34" i="6"/>
  <c r="Y127" i="6"/>
  <c r="Y135" i="6"/>
  <c r="Y129" i="6"/>
  <c r="Y128" i="6"/>
  <c r="Y136" i="6"/>
  <c r="Y137" i="6"/>
  <c r="Y138" i="6"/>
  <c r="Y139" i="6"/>
  <c r="Y132" i="6"/>
  <c r="Y126" i="6"/>
  <c r="Y130" i="6"/>
  <c r="Y131" i="6"/>
  <c r="Y124" i="6"/>
  <c r="Y125" i="6"/>
  <c r="Y133" i="6"/>
  <c r="Y134" i="6"/>
  <c r="Y123" i="6"/>
  <c r="AG127" i="6"/>
  <c r="AG135" i="6"/>
  <c r="AG137" i="6"/>
  <c r="AG128" i="6"/>
  <c r="AG136" i="6"/>
  <c r="AG129" i="6"/>
  <c r="AG130" i="6"/>
  <c r="AG124" i="6"/>
  <c r="AZ124" i="6" s="1"/>
  <c r="BR124" i="6" s="1"/>
  <c r="AG162" i="6" s="1"/>
  <c r="AG133" i="6"/>
  <c r="AG123" i="6"/>
  <c r="AG139" i="6"/>
  <c r="AG134" i="6"/>
  <c r="AG131" i="6"/>
  <c r="AG132" i="6"/>
  <c r="AG138" i="6"/>
  <c r="AG125" i="6"/>
  <c r="AG126" i="6"/>
  <c r="P101" i="2"/>
  <c r="S101" i="2" s="1"/>
  <c r="P113" i="2"/>
  <c r="S113" i="2" s="1"/>
  <c r="U203" i="6"/>
  <c r="AB85" i="2"/>
  <c r="AE85" i="2" s="1"/>
  <c r="AB84" i="2"/>
  <c r="AE84" i="2" s="1"/>
  <c r="AB81" i="2"/>
  <c r="AE81" i="2" s="1"/>
  <c r="AB80" i="2"/>
  <c r="AE80" i="2" s="1"/>
  <c r="AB78" i="2"/>
  <c r="AE78" i="2" s="1"/>
  <c r="AB77" i="2"/>
  <c r="AE77" i="2" s="1"/>
  <c r="AB75" i="2"/>
  <c r="AE75" i="2" s="1"/>
  <c r="AB74" i="2"/>
  <c r="AE74" i="2" s="1"/>
  <c r="AB73" i="2"/>
  <c r="AE73" i="2" s="1"/>
  <c r="AB88" i="2"/>
  <c r="AE88" i="2" s="1"/>
  <c r="AB87" i="2"/>
  <c r="AE87" i="2" s="1"/>
  <c r="AB86" i="2"/>
  <c r="AE86" i="2" s="1"/>
  <c r="AB82" i="2"/>
  <c r="AE82" i="2" s="1"/>
  <c r="AB79" i="2"/>
  <c r="AE79" i="2" s="1"/>
  <c r="AB76" i="2"/>
  <c r="AE76" i="2" s="1"/>
  <c r="AB89" i="2"/>
  <c r="AE89" i="2" s="1"/>
  <c r="X3" i="2"/>
  <c r="P84" i="2"/>
  <c r="S84" i="2" s="1"/>
  <c r="P73" i="2"/>
  <c r="S73" i="2" s="1"/>
  <c r="P77" i="2"/>
  <c r="S77" i="2" s="1"/>
  <c r="P79" i="2"/>
  <c r="S79" i="2" s="1"/>
  <c r="P74" i="2"/>
  <c r="S74" i="2" s="1"/>
  <c r="P80" i="2"/>
  <c r="S80" i="2" s="1"/>
  <c r="P81" i="2"/>
  <c r="S81" i="2" s="1"/>
  <c r="P82" i="2"/>
  <c r="S82" i="2" s="1"/>
  <c r="P83" i="2"/>
  <c r="S83" i="2" s="1"/>
  <c r="P85" i="2"/>
  <c r="S85" i="2" s="1"/>
  <c r="P86" i="2"/>
  <c r="S86" i="2" s="1"/>
  <c r="P87" i="2"/>
  <c r="S87" i="2" s="1"/>
  <c r="P88" i="2"/>
  <c r="S88" i="2" s="1"/>
  <c r="P76" i="2"/>
  <c r="S76" i="2" s="1"/>
  <c r="P75" i="2"/>
  <c r="S75" i="2" s="1"/>
  <c r="P78" i="2"/>
  <c r="S78" i="2" s="1"/>
  <c r="X11" i="2"/>
  <c r="P47" i="2" s="1"/>
  <c r="P89" i="2"/>
  <c r="S89" i="2" s="1"/>
  <c r="Z148" i="6"/>
  <c r="AJ141" i="6"/>
  <c r="AJ143" i="6"/>
  <c r="AJ144" i="6"/>
  <c r="T141" i="6"/>
  <c r="T140" i="6"/>
  <c r="AB148" i="6"/>
  <c r="AC140" i="6"/>
  <c r="AE145" i="6"/>
  <c r="AR124" i="6"/>
  <c r="BJ124" i="6" s="1"/>
  <c r="Y162" i="6" s="1"/>
  <c r="Y140" i="6"/>
  <c r="AC145" i="6"/>
  <c r="AD145" i="6"/>
  <c r="AA148" i="6"/>
  <c r="S128" i="6"/>
  <c r="S125" i="6"/>
  <c r="S126" i="6"/>
  <c r="S127" i="6"/>
  <c r="S129" i="6"/>
  <c r="S130" i="6"/>
  <c r="S131" i="6"/>
  <c r="S132" i="6"/>
  <c r="S135" i="6"/>
  <c r="S136" i="6"/>
  <c r="S137" i="6"/>
  <c r="S139" i="6"/>
  <c r="S134" i="6"/>
  <c r="S138" i="6"/>
  <c r="X71" i="6"/>
  <c r="Z71" i="6" s="1"/>
  <c r="X70" i="6"/>
  <c r="Z70" i="6" s="1"/>
  <c r="AC143" i="6"/>
  <c r="AV124" i="6"/>
  <c r="BN124" i="6" s="1"/>
  <c r="AC162" i="6" s="1"/>
  <c r="AC144" i="6"/>
  <c r="AC141" i="6"/>
  <c r="AF140" i="6"/>
  <c r="AF141" i="6"/>
  <c r="AF143" i="6"/>
  <c r="AF144" i="6"/>
  <c r="AG144" i="6"/>
  <c r="AH141" i="6"/>
  <c r="AH144" i="6"/>
  <c r="AH143" i="6"/>
  <c r="AH140" i="6"/>
  <c r="AI144" i="6"/>
  <c r="AI143" i="6"/>
  <c r="AI141" i="6"/>
  <c r="AI140" i="6"/>
  <c r="BB124" i="6"/>
  <c r="BT124" i="6" s="1"/>
  <c r="AI162" i="6" s="1"/>
  <c r="AJ140" i="6"/>
  <c r="AD140" i="6"/>
  <c r="AD141" i="6"/>
  <c r="AD144" i="6"/>
  <c r="AD143" i="6"/>
  <c r="AA140" i="6"/>
  <c r="AE143" i="6"/>
  <c r="AE141" i="6"/>
  <c r="AE140" i="6"/>
  <c r="AE144" i="6"/>
  <c r="AB140" i="6"/>
  <c r="Z140" i="6"/>
  <c r="V140" i="6"/>
  <c r="U140" i="6"/>
  <c r="AI145" i="6"/>
  <c r="W140" i="6"/>
  <c r="AP124" i="6"/>
  <c r="BH124" i="6" s="1"/>
  <c r="W162" i="6" s="1"/>
  <c r="X140" i="6"/>
  <c r="AN124" i="6"/>
  <c r="BF124" i="6" s="1"/>
  <c r="U162" i="6" s="1"/>
  <c r="AG145" i="6"/>
  <c r="AF145" i="6"/>
  <c r="AH145" i="6"/>
  <c r="T148" i="6"/>
  <c r="AC146" i="6"/>
  <c r="AC147" i="6"/>
  <c r="AC148" i="6"/>
  <c r="AF147" i="6"/>
  <c r="AF148" i="6"/>
  <c r="AG146" i="6"/>
  <c r="AG147" i="6"/>
  <c r="AG148" i="6"/>
  <c r="AH146" i="6"/>
  <c r="AH147" i="6"/>
  <c r="AH148" i="6"/>
  <c r="AI146" i="6"/>
  <c r="AI147" i="6"/>
  <c r="AI148" i="6"/>
  <c r="AJ145" i="6"/>
  <c r="AJ146" i="6"/>
  <c r="AJ147" i="6"/>
  <c r="AJ148" i="6"/>
  <c r="U146" i="6"/>
  <c r="U145" i="6"/>
  <c r="U144" i="6"/>
  <c r="U143" i="6"/>
  <c r="U141" i="6"/>
  <c r="U148" i="6"/>
  <c r="U147" i="6"/>
  <c r="V147" i="6"/>
  <c r="V144" i="6"/>
  <c r="V143" i="6"/>
  <c r="V141" i="6"/>
  <c r="V148" i="6"/>
  <c r="V146" i="6"/>
  <c r="V145" i="6"/>
  <c r="W147" i="6"/>
  <c r="W146" i="6"/>
  <c r="W145" i="6"/>
  <c r="W144" i="6"/>
  <c r="W143" i="6"/>
  <c r="W141" i="6"/>
  <c r="W148" i="6"/>
  <c r="X148" i="6"/>
  <c r="X145" i="6"/>
  <c r="X144" i="6"/>
  <c r="X143" i="6"/>
  <c r="X141" i="6"/>
  <c r="X147" i="6"/>
  <c r="X146" i="6"/>
  <c r="Y148" i="6"/>
  <c r="Y147" i="6"/>
  <c r="Y146" i="6"/>
  <c r="Y145" i="6"/>
  <c r="Y144" i="6"/>
  <c r="Y143" i="6"/>
  <c r="Y141" i="6"/>
  <c r="AD146" i="6"/>
  <c r="AD147" i="6"/>
  <c r="AD148" i="6"/>
  <c r="AA145" i="6"/>
  <c r="AA144" i="6"/>
  <c r="AA143" i="6"/>
  <c r="AA141" i="6"/>
  <c r="AA147" i="6"/>
  <c r="AA146" i="6"/>
  <c r="AE146" i="6"/>
  <c r="AE147" i="6"/>
  <c r="AE148" i="6"/>
  <c r="AB147" i="6"/>
  <c r="AB146" i="6"/>
  <c r="AB144" i="6"/>
  <c r="AB143" i="6"/>
  <c r="AB141" i="6"/>
  <c r="AB145" i="6"/>
  <c r="AU124" i="6"/>
  <c r="BM124" i="6" s="1"/>
  <c r="AB162" i="6" s="1"/>
  <c r="Z146" i="6"/>
  <c r="Z144" i="6"/>
  <c r="Z143" i="6"/>
  <c r="Z141" i="6"/>
  <c r="Z147" i="6"/>
  <c r="Z145" i="6"/>
  <c r="AS124" i="6"/>
  <c r="BK124" i="6" s="1"/>
  <c r="Z162" i="6" s="1"/>
  <c r="T147" i="6"/>
  <c r="T146" i="6"/>
  <c r="T145" i="6"/>
  <c r="T144" i="6"/>
  <c r="T143" i="6"/>
  <c r="S124" i="6"/>
  <c r="S133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X75" i="6"/>
  <c r="Z75" i="6" s="1"/>
  <c r="AF146" i="6"/>
  <c r="AG143" i="6"/>
  <c r="AG141" i="6"/>
  <c r="AG140" i="6"/>
  <c r="U142" i="6"/>
  <c r="W142" i="6"/>
  <c r="Y142" i="6"/>
  <c r="Z142" i="6"/>
  <c r="AA142" i="6"/>
  <c r="AB142" i="6"/>
  <c r="V142" i="6"/>
  <c r="X142" i="6"/>
  <c r="T142" i="6"/>
  <c r="AI142" i="6"/>
  <c r="AH142" i="6"/>
  <c r="AG142" i="6"/>
  <c r="AF142" i="6"/>
  <c r="AE142" i="6"/>
  <c r="AD142" i="6"/>
  <c r="AC142" i="6"/>
  <c r="AJ142" i="6"/>
  <c r="AL145" i="6"/>
  <c r="AL147" i="6"/>
  <c r="AL146" i="6"/>
  <c r="AL128" i="6"/>
  <c r="AL125" i="6"/>
  <c r="AL127" i="6"/>
  <c r="AL129" i="6"/>
  <c r="AL130" i="6"/>
  <c r="AL131" i="6"/>
  <c r="AL132" i="6"/>
  <c r="AL133" i="6"/>
  <c r="AL134" i="6"/>
  <c r="AT134" i="6" s="1"/>
  <c r="AL135" i="6"/>
  <c r="AL136" i="6"/>
  <c r="AL137" i="6"/>
  <c r="AL138" i="6"/>
  <c r="AL148" i="6"/>
  <c r="AL123" i="6"/>
  <c r="AL139" i="6"/>
  <c r="AL140" i="6"/>
  <c r="AL141" i="6"/>
  <c r="AL142" i="6"/>
  <c r="AL143" i="6"/>
  <c r="AL144" i="6"/>
  <c r="N128" i="6"/>
  <c r="O128" i="6" s="1"/>
  <c r="N132" i="6" s="1"/>
  <c r="N133" i="6" s="1"/>
  <c r="E171" i="6"/>
  <c r="D185" i="6"/>
  <c r="D186" i="6" s="1"/>
  <c r="D188" i="6"/>
  <c r="D187" i="6"/>
  <c r="X69" i="6"/>
  <c r="Z69" i="6" s="1"/>
  <c r="X68" i="6"/>
  <c r="Z68" i="6" s="1"/>
  <c r="X67" i="6"/>
  <c r="Z67" i="6" s="1"/>
  <c r="X66" i="6"/>
  <c r="Z66" i="6" s="1"/>
  <c r="S12" i="2"/>
  <c r="S28" i="2"/>
  <c r="S93" i="6"/>
  <c r="S94" i="6"/>
  <c r="Q114" i="6"/>
  <c r="Q107" i="6"/>
  <c r="Q105" i="6"/>
  <c r="Q103" i="6"/>
  <c r="Q101" i="6"/>
  <c r="X89" i="6"/>
  <c r="Z89" i="6" s="1"/>
  <c r="X87" i="6"/>
  <c r="Z87" i="6" s="1"/>
  <c r="X84" i="6"/>
  <c r="Z84" i="6" s="1"/>
  <c r="X83" i="6"/>
  <c r="Z83" i="6" s="1"/>
  <c r="X80" i="6"/>
  <c r="Z80" i="6" s="1"/>
  <c r="X77" i="6"/>
  <c r="Z77" i="6" s="1"/>
  <c r="X76" i="6"/>
  <c r="Z76" i="6" s="1"/>
  <c r="Q115" i="6"/>
  <c r="Q112" i="6"/>
  <c r="Q111" i="6"/>
  <c r="Q110" i="6"/>
  <c r="Q108" i="6"/>
  <c r="Q104" i="6"/>
  <c r="Q102" i="6"/>
  <c r="X90" i="6"/>
  <c r="Z90" i="6" s="1"/>
  <c r="X88" i="6"/>
  <c r="Z88" i="6" s="1"/>
  <c r="X81" i="6"/>
  <c r="Z81" i="6" s="1"/>
  <c r="X78" i="6"/>
  <c r="Z78" i="6" s="1"/>
  <c r="Q113" i="6"/>
  <c r="Q109" i="6"/>
  <c r="Q106" i="6"/>
  <c r="Q100" i="6"/>
  <c r="X91" i="6"/>
  <c r="Z91" i="6" s="1"/>
  <c r="C32" i="6" s="1"/>
  <c r="X85" i="6"/>
  <c r="Z85" i="6" s="1"/>
  <c r="X82" i="6"/>
  <c r="Z82" i="6" s="1"/>
  <c r="X86" i="6"/>
  <c r="Z86" i="6" s="1"/>
  <c r="X79" i="6"/>
  <c r="Z79" i="6" s="1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7" i="5"/>
  <c r="AD26" i="5"/>
  <c r="D81" i="5"/>
  <c r="E81" i="5" s="1"/>
  <c r="S30" i="5"/>
  <c r="S29" i="5"/>
  <c r="X27" i="5"/>
  <c r="X26" i="5"/>
  <c r="X23" i="5"/>
  <c r="X21" i="5"/>
  <c r="X19" i="5"/>
  <c r="X17" i="5"/>
  <c r="X16" i="5"/>
  <c r="X13" i="5"/>
  <c r="X25" i="5"/>
  <c r="X24" i="5"/>
  <c r="X22" i="5"/>
  <c r="X20" i="5"/>
  <c r="X18" i="5"/>
  <c r="X15" i="5"/>
  <c r="X14" i="5"/>
  <c r="X12" i="5"/>
  <c r="X11" i="5"/>
  <c r="X10" i="2"/>
  <c r="X9" i="2"/>
  <c r="X8" i="2"/>
  <c r="X7" i="2"/>
  <c r="X6" i="2"/>
  <c r="X5" i="2"/>
  <c r="X4" i="2"/>
  <c r="X2" i="2"/>
  <c r="W30" i="2"/>
  <c r="V30" i="2"/>
  <c r="X22" i="2"/>
  <c r="P58" i="2" s="1"/>
  <c r="R58" i="2" s="1"/>
  <c r="S58" i="2" s="1"/>
  <c r="X21" i="2"/>
  <c r="P57" i="2" s="1"/>
  <c r="R57" i="2" s="1"/>
  <c r="S57" i="2" s="1"/>
  <c r="X20" i="2"/>
  <c r="P56" i="2" s="1"/>
  <c r="R56" i="2" s="1"/>
  <c r="S56" i="2" s="1"/>
  <c r="X19" i="2"/>
  <c r="P55" i="2" s="1"/>
  <c r="R55" i="2" s="1"/>
  <c r="S55" i="2" s="1"/>
  <c r="X16" i="2"/>
  <c r="P52" i="2" s="1"/>
  <c r="R52" i="2" s="1"/>
  <c r="S52" i="2" s="1"/>
  <c r="X18" i="2"/>
  <c r="P54" i="2" s="1"/>
  <c r="R54" i="2" s="1"/>
  <c r="S54" i="2" s="1"/>
  <c r="X17" i="2"/>
  <c r="P53" i="2" s="1"/>
  <c r="R53" i="2" s="1"/>
  <c r="S53" i="2" s="1"/>
  <c r="X15" i="2"/>
  <c r="P51" i="2" s="1"/>
  <c r="R51" i="2" s="1"/>
  <c r="S51" i="2" s="1"/>
  <c r="X12" i="2"/>
  <c r="P48" i="2" s="1"/>
  <c r="R48" i="2" s="1"/>
  <c r="S48" i="2" s="1"/>
  <c r="X27" i="2"/>
  <c r="P63" i="2" s="1"/>
  <c r="R63" i="2" s="1"/>
  <c r="S63" i="2" s="1"/>
  <c r="X25" i="2"/>
  <c r="P61" i="2" s="1"/>
  <c r="R61" i="2" s="1"/>
  <c r="S61" i="2" s="1"/>
  <c r="X24" i="2"/>
  <c r="P60" i="2" s="1"/>
  <c r="R60" i="2" s="1"/>
  <c r="S60" i="2" s="1"/>
  <c r="X23" i="2"/>
  <c r="P59" i="2" s="1"/>
  <c r="R59" i="2" s="1"/>
  <c r="S59" i="2" s="1"/>
  <c r="X13" i="2"/>
  <c r="P49" i="2" s="1"/>
  <c r="R49" i="2" s="1"/>
  <c r="S49" i="2" s="1"/>
  <c r="X26" i="2"/>
  <c r="P62" i="2" s="1"/>
  <c r="R62" i="2" s="1"/>
  <c r="S62" i="2" s="1"/>
  <c r="X14" i="2"/>
  <c r="P50" i="2" s="1"/>
  <c r="R50" i="2" s="1"/>
  <c r="S50" i="2" s="1"/>
  <c r="S22" i="2"/>
  <c r="S3" i="2"/>
  <c r="S19" i="2"/>
  <c r="S7" i="2"/>
  <c r="S18" i="2"/>
  <c r="S17" i="2"/>
  <c r="S16" i="2"/>
  <c r="S21" i="2"/>
  <c r="S4" i="2"/>
  <c r="S2" i="2"/>
  <c r="S25" i="2"/>
  <c r="S24" i="2"/>
  <c r="S23" i="2"/>
  <c r="S15" i="2"/>
  <c r="S14" i="2"/>
  <c r="S13" i="2"/>
  <c r="S10" i="2"/>
  <c r="S5" i="2"/>
  <c r="S26" i="2"/>
  <c r="S9" i="2"/>
  <c r="S8" i="2"/>
  <c r="S27" i="2"/>
  <c r="S11" i="2"/>
  <c r="S6" i="2"/>
  <c r="S20" i="2"/>
  <c r="AD30" i="5" l="1"/>
  <c r="E65" i="5"/>
  <c r="D82" i="5"/>
  <c r="D83" i="5" s="1"/>
  <c r="D84" i="5"/>
  <c r="D49" i="6"/>
  <c r="F35" i="6"/>
  <c r="I35" i="6"/>
  <c r="I36" i="6"/>
  <c r="H36" i="6"/>
  <c r="H35" i="6"/>
  <c r="F34" i="6"/>
  <c r="D85" i="5"/>
  <c r="E145" i="6"/>
  <c r="H20" i="6"/>
  <c r="AD29" i="5"/>
  <c r="D146" i="6"/>
  <c r="D147" i="6" s="1"/>
  <c r="T29" i="2"/>
  <c r="Y193" i="6"/>
  <c r="X193" i="6"/>
  <c r="G22" i="6" s="1"/>
  <c r="H22" i="6"/>
  <c r="Z193" i="6"/>
  <c r="AA193" i="6" s="1"/>
  <c r="I22" i="6" s="1"/>
  <c r="S116" i="2" a="1"/>
  <c r="S116" i="2" s="1"/>
  <c r="T116" i="2" s="1"/>
  <c r="Y192" i="6"/>
  <c r="H21" i="6"/>
  <c r="Z192" i="6"/>
  <c r="AA192" i="6" s="1"/>
  <c r="I21" i="6" s="1"/>
  <c r="AE90" i="2" a="1"/>
  <c r="AE90" i="2" s="1"/>
  <c r="AF90" i="2" s="1"/>
  <c r="S90" i="2" a="1"/>
  <c r="S90" i="2" s="1"/>
  <c r="T90" i="2" s="1"/>
  <c r="R47" i="2"/>
  <c r="S47" i="2" s="1"/>
  <c r="S64" i="2" s="1" a="1"/>
  <c r="S64" i="2" s="1"/>
  <c r="T64" i="2" s="1"/>
  <c r="AU140" i="6"/>
  <c r="BM140" i="6" s="1"/>
  <c r="AB178" i="6" s="1"/>
  <c r="AV128" i="6"/>
  <c r="BN128" i="6" s="1"/>
  <c r="AC166" i="6" s="1"/>
  <c r="AV129" i="6"/>
  <c r="BN129" i="6" s="1"/>
  <c r="AC167" i="6" s="1"/>
  <c r="AV130" i="6"/>
  <c r="BN130" i="6" s="1"/>
  <c r="AC168" i="6" s="1"/>
  <c r="AV131" i="6"/>
  <c r="BN131" i="6" s="1"/>
  <c r="AC169" i="6" s="1"/>
  <c r="AV132" i="6"/>
  <c r="BN132" i="6" s="1"/>
  <c r="AC170" i="6" s="1"/>
  <c r="AV133" i="6"/>
  <c r="BN133" i="6" s="1"/>
  <c r="AC171" i="6" s="1"/>
  <c r="AV134" i="6"/>
  <c r="BN134" i="6" s="1"/>
  <c r="AC172" i="6" s="1"/>
  <c r="AV146" i="6"/>
  <c r="BN146" i="6" s="1"/>
  <c r="AC184" i="6" s="1"/>
  <c r="AV147" i="6"/>
  <c r="BN147" i="6" s="1"/>
  <c r="AC185" i="6" s="1"/>
  <c r="AV148" i="6"/>
  <c r="BN148" i="6" s="1"/>
  <c r="AC186" i="6" s="1"/>
  <c r="AZ128" i="6"/>
  <c r="BR128" i="6" s="1"/>
  <c r="AG166" i="6" s="1"/>
  <c r="AZ131" i="6"/>
  <c r="BR131" i="6" s="1"/>
  <c r="AG169" i="6" s="1"/>
  <c r="AZ146" i="6"/>
  <c r="BR146" i="6" s="1"/>
  <c r="AG184" i="6" s="1"/>
  <c r="AZ147" i="6"/>
  <c r="BR147" i="6" s="1"/>
  <c r="AG185" i="6" s="1"/>
  <c r="AZ148" i="6"/>
  <c r="BR148" i="6" s="1"/>
  <c r="AG186" i="6" s="1"/>
  <c r="BA128" i="6"/>
  <c r="BS128" i="6" s="1"/>
  <c r="AH166" i="6" s="1"/>
  <c r="BA131" i="6"/>
  <c r="BS131" i="6" s="1"/>
  <c r="AH169" i="6" s="1"/>
  <c r="BA133" i="6"/>
  <c r="BS133" i="6" s="1"/>
  <c r="AH171" i="6" s="1"/>
  <c r="BB130" i="6"/>
  <c r="BT130" i="6" s="1"/>
  <c r="AI168" i="6" s="1"/>
  <c r="BB131" i="6"/>
  <c r="BT131" i="6" s="1"/>
  <c r="AI169" i="6" s="1"/>
  <c r="BB147" i="6"/>
  <c r="BT147" i="6" s="1"/>
  <c r="AI185" i="6" s="1"/>
  <c r="BC128" i="6"/>
  <c r="BU128" i="6" s="1"/>
  <c r="AJ166" i="6" s="1"/>
  <c r="BC130" i="6"/>
  <c r="BU130" i="6" s="1"/>
  <c r="AJ168" i="6" s="1"/>
  <c r="BC131" i="6"/>
  <c r="BU131" i="6" s="1"/>
  <c r="AJ169" i="6" s="1"/>
  <c r="BC145" i="6"/>
  <c r="BU145" i="6" s="1"/>
  <c r="AJ183" i="6" s="1"/>
  <c r="BC146" i="6"/>
  <c r="BU146" i="6" s="1"/>
  <c r="AJ184" i="6" s="1"/>
  <c r="BC147" i="6"/>
  <c r="BU147" i="6" s="1"/>
  <c r="AJ185" i="6" s="1"/>
  <c r="BC148" i="6"/>
  <c r="BU148" i="6" s="1"/>
  <c r="AJ186" i="6" s="1"/>
  <c r="AN144" i="6"/>
  <c r="BF144" i="6" s="1"/>
  <c r="U182" i="6" s="1"/>
  <c r="AN143" i="6"/>
  <c r="BF143" i="6" s="1"/>
  <c r="U181" i="6" s="1"/>
  <c r="AR144" i="6"/>
  <c r="BJ144" i="6" s="1"/>
  <c r="Y182" i="6" s="1"/>
  <c r="AT144" i="6"/>
  <c r="BL144" i="6" s="1"/>
  <c r="AA182" i="6" s="1"/>
  <c r="AS143" i="6"/>
  <c r="BK143" i="6" s="1"/>
  <c r="Z181" i="6" s="1"/>
  <c r="AM143" i="6"/>
  <c r="BE143" i="6" s="1"/>
  <c r="T181" i="6" s="1"/>
  <c r="AM144" i="6"/>
  <c r="BE144" i="6" s="1"/>
  <c r="T182" i="6" s="1"/>
  <c r="BC139" i="6"/>
  <c r="BU139" i="6" s="1"/>
  <c r="AJ177" i="6" s="1"/>
  <c r="AW126" i="6"/>
  <c r="BO126" i="6" s="1"/>
  <c r="AD164" i="6" s="1"/>
  <c r="AT138" i="6"/>
  <c r="BL138" i="6" s="1"/>
  <c r="AA176" i="6" s="1"/>
  <c r="AT141" i="6"/>
  <c r="BL141" i="6" s="1"/>
  <c r="AA179" i="6" s="1"/>
  <c r="AT140" i="6"/>
  <c r="BL140" i="6" s="1"/>
  <c r="AA178" i="6" s="1"/>
  <c r="AR143" i="6"/>
  <c r="BJ143" i="6" s="1"/>
  <c r="Y181" i="6" s="1"/>
  <c r="AT137" i="6"/>
  <c r="BL137" i="6" s="1"/>
  <c r="AA175" i="6" s="1"/>
  <c r="AS144" i="6"/>
  <c r="BK144" i="6" s="1"/>
  <c r="Z182" i="6" s="1"/>
  <c r="AS128" i="6"/>
  <c r="BK128" i="6" s="1"/>
  <c r="Z166" i="6" s="1"/>
  <c r="AU132" i="6"/>
  <c r="BM132" i="6" s="1"/>
  <c r="AB170" i="6" s="1"/>
  <c r="AV138" i="6"/>
  <c r="BN138" i="6" s="1"/>
  <c r="AC176" i="6" s="1"/>
  <c r="AV139" i="6"/>
  <c r="BN139" i="6" s="1"/>
  <c r="AC177" i="6" s="1"/>
  <c r="AZ143" i="6"/>
  <c r="BR143" i="6" s="1"/>
  <c r="AG181" i="6" s="1"/>
  <c r="AS129" i="6"/>
  <c r="BK129" i="6" s="1"/>
  <c r="Z167" i="6" s="1"/>
  <c r="AU131" i="6"/>
  <c r="BM131" i="6" s="1"/>
  <c r="AB169" i="6" s="1"/>
  <c r="AU135" i="6"/>
  <c r="BM135" i="6" s="1"/>
  <c r="AB173" i="6" s="1"/>
  <c r="AV141" i="6"/>
  <c r="BN141" i="6" s="1"/>
  <c r="AC179" i="6" s="1"/>
  <c r="AV126" i="6"/>
  <c r="BN126" i="6" s="1"/>
  <c r="AC164" i="6" s="1"/>
  <c r="AV125" i="6"/>
  <c r="BN125" i="6" s="1"/>
  <c r="AC163" i="6" s="1"/>
  <c r="AV127" i="6"/>
  <c r="BN127" i="6" s="1"/>
  <c r="AC165" i="6" s="1"/>
  <c r="AZ137" i="6"/>
  <c r="BR137" i="6" s="1"/>
  <c r="AG175" i="6" s="1"/>
  <c r="AZ139" i="6"/>
  <c r="BR139" i="6" s="1"/>
  <c r="AG177" i="6" s="1"/>
  <c r="BA126" i="6"/>
  <c r="BS126" i="6" s="1"/>
  <c r="AH164" i="6" s="1"/>
  <c r="BB139" i="6"/>
  <c r="BT139" i="6" s="1"/>
  <c r="AI177" i="6" s="1"/>
  <c r="AT139" i="6"/>
  <c r="BL139" i="6" s="1"/>
  <c r="AA177" i="6" s="1"/>
  <c r="AU137" i="6"/>
  <c r="BM137" i="6" s="1"/>
  <c r="AB175" i="6" s="1"/>
  <c r="AU139" i="6"/>
  <c r="BM139" i="6" s="1"/>
  <c r="AB177" i="6" s="1"/>
  <c r="AU138" i="6"/>
  <c r="BM138" i="6" s="1"/>
  <c r="AB176" i="6" s="1"/>
  <c r="AZ145" i="6"/>
  <c r="BR145" i="6" s="1"/>
  <c r="AG183" i="6" s="1"/>
  <c r="AS132" i="6"/>
  <c r="BK132" i="6" s="1"/>
  <c r="Z170" i="6" s="1"/>
  <c r="AZ134" i="6"/>
  <c r="BR134" i="6" s="1"/>
  <c r="AG172" i="6" s="1"/>
  <c r="AV123" i="6"/>
  <c r="BN123" i="6" s="1"/>
  <c r="AC161" i="6" s="1"/>
  <c r="AP144" i="6"/>
  <c r="BH144" i="6" s="1"/>
  <c r="W182" i="6" s="1"/>
  <c r="AP143" i="6"/>
  <c r="BH143" i="6" s="1"/>
  <c r="W181" i="6" s="1"/>
  <c r="AW130" i="6"/>
  <c r="BO130" i="6" s="1"/>
  <c r="AD168" i="6" s="1"/>
  <c r="AW131" i="6"/>
  <c r="BO131" i="6" s="1"/>
  <c r="AD169" i="6" s="1"/>
  <c r="AW146" i="6"/>
  <c r="BO146" i="6" s="1"/>
  <c r="AD184" i="6" s="1"/>
  <c r="AW147" i="6"/>
  <c r="BO147" i="6" s="1"/>
  <c r="AD185" i="6" s="1"/>
  <c r="AT145" i="6"/>
  <c r="BL145" i="6" s="1"/>
  <c r="AA183" i="6" s="1"/>
  <c r="AT136" i="6"/>
  <c r="BL136" i="6" s="1"/>
  <c r="AA174" i="6" s="1"/>
  <c r="AT135" i="6"/>
  <c r="BL135" i="6" s="1"/>
  <c r="AA173" i="6" s="1"/>
  <c r="AT147" i="6"/>
  <c r="BL147" i="6" s="1"/>
  <c r="AA185" i="6" s="1"/>
  <c r="AT146" i="6"/>
  <c r="BL146" i="6" s="1"/>
  <c r="AA184" i="6" s="1"/>
  <c r="AT133" i="6"/>
  <c r="BL133" i="6" s="1"/>
  <c r="AA171" i="6" s="1"/>
  <c r="AS147" i="6"/>
  <c r="BK147" i="6" s="1"/>
  <c r="Z185" i="6" s="1"/>
  <c r="BA147" i="6"/>
  <c r="BS147" i="6" s="1"/>
  <c r="AH185" i="6" s="1"/>
  <c r="BA146" i="6"/>
  <c r="BS146" i="6" s="1"/>
  <c r="AH184" i="6" s="1"/>
  <c r="AV140" i="6"/>
  <c r="BN140" i="6" s="1"/>
  <c r="AC178" i="6" s="1"/>
  <c r="AU141" i="6"/>
  <c r="BM141" i="6" s="1"/>
  <c r="AB179" i="6" s="1"/>
  <c r="BC129" i="6"/>
  <c r="BU129" i="6" s="1"/>
  <c r="AJ167" i="6" s="1"/>
  <c r="AY147" i="6"/>
  <c r="BQ147" i="6" s="1"/>
  <c r="AF185" i="6" s="1"/>
  <c r="BB129" i="6"/>
  <c r="BT129" i="6" s="1"/>
  <c r="AI167" i="6" s="1"/>
  <c r="BB146" i="6"/>
  <c r="BT146" i="6" s="1"/>
  <c r="AI184" i="6" s="1"/>
  <c r="BC127" i="6"/>
  <c r="BU127" i="6" s="1"/>
  <c r="AJ165" i="6" s="1"/>
  <c r="BC133" i="6"/>
  <c r="BU133" i="6" s="1"/>
  <c r="AJ171" i="6" s="1"/>
  <c r="AN146" i="6"/>
  <c r="BF146" i="6" s="1"/>
  <c r="U184" i="6" s="1"/>
  <c r="AN145" i="6"/>
  <c r="BF145" i="6" s="1"/>
  <c r="U183" i="6" s="1"/>
  <c r="AN141" i="6"/>
  <c r="BF141" i="6" s="1"/>
  <c r="U179" i="6" s="1"/>
  <c r="AN136" i="6"/>
  <c r="BF136" i="6" s="1"/>
  <c r="U174" i="6" s="1"/>
  <c r="AN135" i="6"/>
  <c r="BF135" i="6" s="1"/>
  <c r="U173" i="6" s="1"/>
  <c r="AN134" i="6"/>
  <c r="BF134" i="6" s="1"/>
  <c r="U172" i="6" s="1"/>
  <c r="AN133" i="6"/>
  <c r="BF133" i="6" s="1"/>
  <c r="U171" i="6" s="1"/>
  <c r="AN132" i="6"/>
  <c r="BF132" i="6" s="1"/>
  <c r="U170" i="6" s="1"/>
  <c r="AN131" i="6"/>
  <c r="BF131" i="6" s="1"/>
  <c r="U169" i="6" s="1"/>
  <c r="AN130" i="6"/>
  <c r="BF130" i="6" s="1"/>
  <c r="U168" i="6" s="1"/>
  <c r="AN129" i="6"/>
  <c r="BF129" i="6" s="1"/>
  <c r="U167" i="6" s="1"/>
  <c r="AN128" i="6"/>
  <c r="BF128" i="6" s="1"/>
  <c r="U166" i="6" s="1"/>
  <c r="AN127" i="6"/>
  <c r="BF127" i="6" s="1"/>
  <c r="U165" i="6" s="1"/>
  <c r="AN126" i="6"/>
  <c r="BF126" i="6" s="1"/>
  <c r="U164" i="6" s="1"/>
  <c r="AN148" i="6"/>
  <c r="BF148" i="6" s="1"/>
  <c r="U186" i="6" s="1"/>
  <c r="AN147" i="6"/>
  <c r="BF147" i="6" s="1"/>
  <c r="U185" i="6" s="1"/>
  <c r="AO147" i="6"/>
  <c r="BG147" i="6" s="1"/>
  <c r="V185" i="6" s="1"/>
  <c r="AO136" i="6"/>
  <c r="BG136" i="6" s="1"/>
  <c r="V174" i="6" s="1"/>
  <c r="AO134" i="6"/>
  <c r="BG134" i="6" s="1"/>
  <c r="V172" i="6" s="1"/>
  <c r="AO133" i="6"/>
  <c r="BG133" i="6" s="1"/>
  <c r="V171" i="6" s="1"/>
  <c r="AO132" i="6"/>
  <c r="BG132" i="6" s="1"/>
  <c r="V170" i="6" s="1"/>
  <c r="AO131" i="6"/>
  <c r="BG131" i="6" s="1"/>
  <c r="V169" i="6" s="1"/>
  <c r="AO130" i="6"/>
  <c r="BG130" i="6" s="1"/>
  <c r="V168" i="6" s="1"/>
  <c r="AO129" i="6"/>
  <c r="BG129" i="6" s="1"/>
  <c r="V167" i="6" s="1"/>
  <c r="AO146" i="6"/>
  <c r="BG146" i="6" s="1"/>
  <c r="V184" i="6" s="1"/>
  <c r="AP147" i="6"/>
  <c r="BH147" i="6" s="1"/>
  <c r="W185" i="6" s="1"/>
  <c r="AP146" i="6"/>
  <c r="BH146" i="6" s="1"/>
  <c r="W184" i="6" s="1"/>
  <c r="AP145" i="6"/>
  <c r="BH145" i="6" s="1"/>
  <c r="W183" i="6" s="1"/>
  <c r="AP141" i="6"/>
  <c r="BH141" i="6" s="1"/>
  <c r="W179" i="6" s="1"/>
  <c r="AP136" i="6"/>
  <c r="BH136" i="6" s="1"/>
  <c r="W174" i="6" s="1"/>
  <c r="AP135" i="6"/>
  <c r="BH135" i="6" s="1"/>
  <c r="W173" i="6" s="1"/>
  <c r="AP134" i="6"/>
  <c r="BH134" i="6" s="1"/>
  <c r="W172" i="6" s="1"/>
  <c r="AP133" i="6"/>
  <c r="BH133" i="6" s="1"/>
  <c r="W171" i="6" s="1"/>
  <c r="AP132" i="6"/>
  <c r="BH132" i="6" s="1"/>
  <c r="W170" i="6" s="1"/>
  <c r="AP131" i="6"/>
  <c r="BH131" i="6" s="1"/>
  <c r="W169" i="6" s="1"/>
  <c r="AP130" i="6"/>
  <c r="BH130" i="6" s="1"/>
  <c r="W168" i="6" s="1"/>
  <c r="AP129" i="6"/>
  <c r="BH129" i="6" s="1"/>
  <c r="W167" i="6" s="1"/>
  <c r="AP128" i="6"/>
  <c r="BH128" i="6" s="1"/>
  <c r="W166" i="6" s="1"/>
  <c r="AP127" i="6"/>
  <c r="BH127" i="6" s="1"/>
  <c r="W165" i="6" s="1"/>
  <c r="AP148" i="6"/>
  <c r="BH148" i="6" s="1"/>
  <c r="W186" i="6" s="1"/>
  <c r="AQ145" i="6"/>
  <c r="BI145" i="6" s="1"/>
  <c r="X183" i="6" s="1"/>
  <c r="AQ136" i="6"/>
  <c r="BI136" i="6" s="1"/>
  <c r="X174" i="6" s="1"/>
  <c r="AQ135" i="6"/>
  <c r="BI135" i="6" s="1"/>
  <c r="X173" i="6" s="1"/>
  <c r="AQ134" i="6"/>
  <c r="BI134" i="6" s="1"/>
  <c r="X172" i="6" s="1"/>
  <c r="AQ133" i="6"/>
  <c r="BI133" i="6" s="1"/>
  <c r="X171" i="6" s="1"/>
  <c r="AQ132" i="6"/>
  <c r="BI132" i="6" s="1"/>
  <c r="X170" i="6" s="1"/>
  <c r="AQ131" i="6"/>
  <c r="BI131" i="6" s="1"/>
  <c r="X169" i="6" s="1"/>
  <c r="AQ130" i="6"/>
  <c r="BI130" i="6" s="1"/>
  <c r="X168" i="6" s="1"/>
  <c r="AQ129" i="6"/>
  <c r="BI129" i="6" s="1"/>
  <c r="X167" i="6" s="1"/>
  <c r="AQ128" i="6"/>
  <c r="BI128" i="6" s="1"/>
  <c r="X166" i="6" s="1"/>
  <c r="AQ127" i="6"/>
  <c r="BI127" i="6" s="1"/>
  <c r="X165" i="6" s="1"/>
  <c r="AR148" i="6"/>
  <c r="BJ148" i="6" s="1"/>
  <c r="Y186" i="6" s="1"/>
  <c r="AR147" i="6"/>
  <c r="BJ147" i="6" s="1"/>
  <c r="Y185" i="6" s="1"/>
  <c r="AX133" i="6"/>
  <c r="BP133" i="6" s="1"/>
  <c r="AE171" i="6" s="1"/>
  <c r="AR146" i="6"/>
  <c r="BJ146" i="6" s="1"/>
  <c r="Y184" i="6" s="1"/>
  <c r="AR145" i="6"/>
  <c r="BJ145" i="6" s="1"/>
  <c r="Y183" i="6" s="1"/>
  <c r="AR141" i="6"/>
  <c r="BJ141" i="6" s="1"/>
  <c r="Y179" i="6" s="1"/>
  <c r="AR136" i="6"/>
  <c r="BJ136" i="6" s="1"/>
  <c r="Y174" i="6" s="1"/>
  <c r="AR135" i="6"/>
  <c r="BJ135" i="6" s="1"/>
  <c r="Y173" i="6" s="1"/>
  <c r="AR134" i="6"/>
  <c r="BJ134" i="6" s="1"/>
  <c r="Y172" i="6" s="1"/>
  <c r="AR133" i="6"/>
  <c r="BJ133" i="6" s="1"/>
  <c r="Y171" i="6" s="1"/>
  <c r="AR132" i="6"/>
  <c r="BJ132" i="6" s="1"/>
  <c r="Y170" i="6" s="1"/>
  <c r="AR131" i="6"/>
  <c r="BJ131" i="6" s="1"/>
  <c r="Y169" i="6" s="1"/>
  <c r="AR130" i="6"/>
  <c r="BJ130" i="6" s="1"/>
  <c r="Y168" i="6" s="1"/>
  <c r="BL134" i="6"/>
  <c r="AA172" i="6" s="1"/>
  <c r="AT127" i="6"/>
  <c r="BL127" i="6" s="1"/>
  <c r="AA165" i="6" s="1"/>
  <c r="AT126" i="6"/>
  <c r="BL126" i="6" s="1"/>
  <c r="AA164" i="6" s="1"/>
  <c r="AT125" i="6"/>
  <c r="BL125" i="6" s="1"/>
  <c r="AA163" i="6" s="1"/>
  <c r="AT123" i="6"/>
  <c r="BL123" i="6" s="1"/>
  <c r="AA161" i="6" s="1"/>
  <c r="AX128" i="6"/>
  <c r="BP128" i="6" s="1"/>
  <c r="AE166" i="6" s="1"/>
  <c r="AX129" i="6"/>
  <c r="BP129" i="6" s="1"/>
  <c r="AE167" i="6" s="1"/>
  <c r="AX130" i="6"/>
  <c r="BP130" i="6" s="1"/>
  <c r="AE168" i="6" s="1"/>
  <c r="AX131" i="6"/>
  <c r="BP131" i="6" s="1"/>
  <c r="AE169" i="6" s="1"/>
  <c r="AX132" i="6"/>
  <c r="BP132" i="6" s="1"/>
  <c r="AE170" i="6" s="1"/>
  <c r="AX146" i="6"/>
  <c r="BP146" i="6" s="1"/>
  <c r="AE184" i="6" s="1"/>
  <c r="AX147" i="6"/>
  <c r="BP147" i="6" s="1"/>
  <c r="AE185" i="6" s="1"/>
  <c r="AX148" i="6"/>
  <c r="BP148" i="6" s="1"/>
  <c r="AE186" i="6" s="1"/>
  <c r="AU147" i="6"/>
  <c r="BM147" i="6" s="1"/>
  <c r="AB185" i="6" s="1"/>
  <c r="AU146" i="6"/>
  <c r="BM146" i="6" s="1"/>
  <c r="AB184" i="6" s="1"/>
  <c r="AU134" i="6"/>
  <c r="BM134" i="6" s="1"/>
  <c r="AB172" i="6" s="1"/>
  <c r="AU125" i="6"/>
  <c r="BM125" i="6" s="1"/>
  <c r="AB163" i="6" s="1"/>
  <c r="AU145" i="6"/>
  <c r="BM145" i="6" s="1"/>
  <c r="AB183" i="6" s="1"/>
  <c r="AS146" i="6"/>
  <c r="BK146" i="6" s="1"/>
  <c r="Z184" i="6" s="1"/>
  <c r="AS141" i="6"/>
  <c r="BK141" i="6" s="1"/>
  <c r="Z179" i="6" s="1"/>
  <c r="AS137" i="6"/>
  <c r="BK137" i="6" s="1"/>
  <c r="Z175" i="6" s="1"/>
  <c r="AS136" i="6"/>
  <c r="BK136" i="6" s="1"/>
  <c r="Z174" i="6" s="1"/>
  <c r="AS135" i="6"/>
  <c r="BK135" i="6" s="1"/>
  <c r="Z173" i="6" s="1"/>
  <c r="AS134" i="6"/>
  <c r="BK134" i="6" s="1"/>
  <c r="Z172" i="6" s="1"/>
  <c r="AS127" i="6"/>
  <c r="BK127" i="6" s="1"/>
  <c r="Z165" i="6" s="1"/>
  <c r="AS126" i="6"/>
  <c r="BK126" i="6" s="1"/>
  <c r="Z164" i="6" s="1"/>
  <c r="AS145" i="6"/>
  <c r="BK145" i="6" s="1"/>
  <c r="Z183" i="6" s="1"/>
  <c r="AS125" i="6"/>
  <c r="BK125" i="6" s="1"/>
  <c r="Z163" i="6" s="1"/>
  <c r="AS123" i="6"/>
  <c r="BK123" i="6" s="1"/>
  <c r="Z161" i="6" s="1"/>
  <c r="AS133" i="6"/>
  <c r="BK133" i="6" s="1"/>
  <c r="Z171" i="6" s="1"/>
  <c r="AM147" i="6"/>
  <c r="BE147" i="6" s="1"/>
  <c r="T185" i="6" s="1"/>
  <c r="AM146" i="6"/>
  <c r="BE146" i="6" s="1"/>
  <c r="T184" i="6" s="1"/>
  <c r="AM145" i="6"/>
  <c r="BE145" i="6" s="1"/>
  <c r="T183" i="6" s="1"/>
  <c r="AM137" i="6"/>
  <c r="BE137" i="6" s="1"/>
  <c r="T175" i="6" s="1"/>
  <c r="AM135" i="6"/>
  <c r="BE135" i="6" s="1"/>
  <c r="T173" i="6" s="1"/>
  <c r="AM132" i="6"/>
  <c r="BE132" i="6" s="1"/>
  <c r="T170" i="6" s="1"/>
  <c r="AM130" i="6"/>
  <c r="BE130" i="6" s="1"/>
  <c r="T168" i="6" s="1"/>
  <c r="AW136" i="6"/>
  <c r="BO136" i="6" s="1"/>
  <c r="AD174" i="6" s="1"/>
  <c r="AY146" i="6"/>
  <c r="BQ146" i="6" s="1"/>
  <c r="AF184" i="6" s="1"/>
  <c r="AY132" i="6"/>
  <c r="BQ132" i="6" s="1"/>
  <c r="AF170" i="6" s="1"/>
  <c r="AY130" i="6"/>
  <c r="BQ130" i="6" s="1"/>
  <c r="AF168" i="6" s="1"/>
  <c r="AV137" i="6"/>
  <c r="BN137" i="6" s="1"/>
  <c r="AC175" i="6" s="1"/>
  <c r="AW137" i="6"/>
  <c r="BO137" i="6" s="1"/>
  <c r="AD175" i="6" s="1"/>
  <c r="AW134" i="6"/>
  <c r="BO134" i="6" s="1"/>
  <c r="AD172" i="6" s="1"/>
  <c r="AZ123" i="6"/>
  <c r="BR123" i="6" s="1"/>
  <c r="AG161" i="6" s="1"/>
  <c r="AZ140" i="6"/>
  <c r="BR140" i="6" s="1"/>
  <c r="AG178" i="6" s="1"/>
  <c r="AV135" i="6"/>
  <c r="BN135" i="6" s="1"/>
  <c r="AC173" i="6" s="1"/>
  <c r="AY133" i="6"/>
  <c r="BQ133" i="6" s="1"/>
  <c r="AF171" i="6" s="1"/>
  <c r="AM138" i="6"/>
  <c r="BE138" i="6" s="1"/>
  <c r="T176" i="6" s="1"/>
  <c r="AM136" i="6"/>
  <c r="BE136" i="6" s="1"/>
  <c r="T174" i="6" s="1"/>
  <c r="AV136" i="6"/>
  <c r="BN136" i="6" s="1"/>
  <c r="AC174" i="6" s="1"/>
  <c r="AY129" i="6"/>
  <c r="BQ129" i="6" s="1"/>
  <c r="AF167" i="6" s="1"/>
  <c r="AZ141" i="6"/>
  <c r="BR141" i="6" s="1"/>
  <c r="AG179" i="6" s="1"/>
  <c r="AZ127" i="6"/>
  <c r="BR127" i="6" s="1"/>
  <c r="AG165" i="6" s="1"/>
  <c r="AY131" i="6"/>
  <c r="BQ131" i="6" s="1"/>
  <c r="AF169" i="6" s="1"/>
  <c r="BC132" i="6"/>
  <c r="BU132" i="6" s="1"/>
  <c r="AJ170" i="6" s="1"/>
  <c r="BB148" i="6"/>
  <c r="BT148" i="6" s="1"/>
  <c r="AI186" i="6" s="1"/>
  <c r="AV145" i="6"/>
  <c r="BN145" i="6" s="1"/>
  <c r="AC183" i="6" s="1"/>
  <c r="AW145" i="6"/>
  <c r="BO145" i="6" s="1"/>
  <c r="AD183" i="6" s="1"/>
  <c r="AS130" i="6"/>
  <c r="BK130" i="6" s="1"/>
  <c r="Z168" i="6" s="1"/>
  <c r="AT130" i="6"/>
  <c r="BL130" i="6" s="1"/>
  <c r="AA168" i="6" s="1"/>
  <c r="AU148" i="6"/>
  <c r="BM148" i="6" s="1"/>
  <c r="AB186" i="6" s="1"/>
  <c r="AS148" i="6"/>
  <c r="BK148" i="6" s="1"/>
  <c r="Z186" i="6" s="1"/>
  <c r="AT148" i="6"/>
  <c r="BL148" i="6" s="1"/>
  <c r="AA186" i="6" s="1"/>
  <c r="AM123" i="6"/>
  <c r="BE123" i="6" s="1"/>
  <c r="T161" i="6" s="1"/>
  <c r="AY145" i="6"/>
  <c r="BQ145" i="6" s="1"/>
  <c r="AF183" i="6" s="1"/>
  <c r="BA145" i="6"/>
  <c r="BS145" i="6" s="1"/>
  <c r="AH183" i="6" s="1"/>
  <c r="BB145" i="6"/>
  <c r="BT145" i="6" s="1"/>
  <c r="AI183" i="6" s="1"/>
  <c r="AX145" i="6"/>
  <c r="BP145" i="6" s="1"/>
  <c r="AE183" i="6" s="1"/>
  <c r="AT128" i="6"/>
  <c r="BL128" i="6" s="1"/>
  <c r="AA166" i="6" s="1"/>
  <c r="BB128" i="6"/>
  <c r="BT128" i="6" s="1"/>
  <c r="AI166" i="6" s="1"/>
  <c r="AY128" i="6"/>
  <c r="BQ128" i="6" s="1"/>
  <c r="AF166" i="6" s="1"/>
  <c r="AR128" i="6"/>
  <c r="BJ128" i="6" s="1"/>
  <c r="Y166" i="6" s="1"/>
  <c r="AW128" i="6"/>
  <c r="BO128" i="6" s="1"/>
  <c r="AD166" i="6" s="1"/>
  <c r="AM128" i="6"/>
  <c r="BE128" i="6" s="1"/>
  <c r="T166" i="6" s="1"/>
  <c r="AO125" i="6"/>
  <c r="BG125" i="6" s="1"/>
  <c r="V163" i="6" s="1"/>
  <c r="AY125" i="6"/>
  <c r="BQ125" i="6" s="1"/>
  <c r="AF163" i="6" s="1"/>
  <c r="AX125" i="6"/>
  <c r="BP125" i="6" s="1"/>
  <c r="AE163" i="6" s="1"/>
  <c r="AP125" i="6"/>
  <c r="BH125" i="6" s="1"/>
  <c r="W163" i="6" s="1"/>
  <c r="AM125" i="6"/>
  <c r="BE125" i="6" s="1"/>
  <c r="T163" i="6" s="1"/>
  <c r="AN125" i="6"/>
  <c r="BF125" i="6" s="1"/>
  <c r="U163" i="6" s="1"/>
  <c r="BC125" i="6"/>
  <c r="BU125" i="6" s="1"/>
  <c r="AJ163" i="6" s="1"/>
  <c r="AW125" i="6"/>
  <c r="BO125" i="6" s="1"/>
  <c r="AD163" i="6" s="1"/>
  <c r="AR125" i="6"/>
  <c r="BJ125" i="6" s="1"/>
  <c r="Y163" i="6" s="1"/>
  <c r="BA125" i="6"/>
  <c r="BS125" i="6" s="1"/>
  <c r="AH163" i="6" s="1"/>
  <c r="AZ125" i="6"/>
  <c r="BR125" i="6" s="1"/>
  <c r="AG163" i="6" s="1"/>
  <c r="BB125" i="6"/>
  <c r="BT125" i="6" s="1"/>
  <c r="AI163" i="6" s="1"/>
  <c r="AR126" i="6"/>
  <c r="BJ126" i="6" s="1"/>
  <c r="Y164" i="6" s="1"/>
  <c r="BC126" i="6"/>
  <c r="BU126" i="6" s="1"/>
  <c r="AJ164" i="6" s="1"/>
  <c r="AZ126" i="6"/>
  <c r="BR126" i="6" s="1"/>
  <c r="AG164" i="6" s="1"/>
  <c r="AY126" i="6"/>
  <c r="BQ126" i="6" s="1"/>
  <c r="AF164" i="6" s="1"/>
  <c r="BB126" i="6"/>
  <c r="BT126" i="6" s="1"/>
  <c r="AI164" i="6" s="1"/>
  <c r="AO126" i="6"/>
  <c r="BG126" i="6" s="1"/>
  <c r="V164" i="6" s="1"/>
  <c r="AM126" i="6"/>
  <c r="BE126" i="6" s="1"/>
  <c r="T164" i="6" s="1"/>
  <c r="AX126" i="6"/>
  <c r="BP126" i="6" s="1"/>
  <c r="AE164" i="6" s="1"/>
  <c r="AP126" i="6"/>
  <c r="BH126" i="6" s="1"/>
  <c r="W164" i="6" s="1"/>
  <c r="AW127" i="6"/>
  <c r="BO127" i="6" s="1"/>
  <c r="AD165" i="6" s="1"/>
  <c r="BA127" i="6"/>
  <c r="BS127" i="6" s="1"/>
  <c r="AH165" i="6" s="1"/>
  <c r="BB127" i="6"/>
  <c r="BT127" i="6" s="1"/>
  <c r="AI165" i="6" s="1"/>
  <c r="AR127" i="6"/>
  <c r="BJ127" i="6" s="1"/>
  <c r="Y165" i="6" s="1"/>
  <c r="AY127" i="6"/>
  <c r="BQ127" i="6" s="1"/>
  <c r="AF165" i="6" s="1"/>
  <c r="AM127" i="6"/>
  <c r="BE127" i="6" s="1"/>
  <c r="T165" i="6" s="1"/>
  <c r="AX127" i="6"/>
  <c r="BP127" i="6" s="1"/>
  <c r="AE165" i="6" s="1"/>
  <c r="BA129" i="6"/>
  <c r="BS129" i="6" s="1"/>
  <c r="AH167" i="6" s="1"/>
  <c r="AW129" i="6"/>
  <c r="BO129" i="6" s="1"/>
  <c r="AD167" i="6" s="1"/>
  <c r="AZ129" i="6"/>
  <c r="BR129" i="6" s="1"/>
  <c r="AG167" i="6" s="1"/>
  <c r="AR129" i="6"/>
  <c r="BJ129" i="6" s="1"/>
  <c r="Y167" i="6" s="1"/>
  <c r="AT129" i="6"/>
  <c r="BL129" i="6" s="1"/>
  <c r="AA167" i="6" s="1"/>
  <c r="AM129" i="6"/>
  <c r="BE129" i="6" s="1"/>
  <c r="T167" i="6" s="1"/>
  <c r="X192" i="6"/>
  <c r="G21" i="6" s="1"/>
  <c r="BA130" i="6"/>
  <c r="BS130" i="6" s="1"/>
  <c r="AH168" i="6" s="1"/>
  <c r="AZ130" i="6"/>
  <c r="BR130" i="6" s="1"/>
  <c r="AG168" i="6" s="1"/>
  <c r="AS131" i="6"/>
  <c r="BK131" i="6" s="1"/>
  <c r="Z169" i="6" s="1"/>
  <c r="AM131" i="6"/>
  <c r="BE131" i="6" s="1"/>
  <c r="T169" i="6" s="1"/>
  <c r="AT131" i="6"/>
  <c r="BL131" i="6" s="1"/>
  <c r="AA169" i="6" s="1"/>
  <c r="BA132" i="6"/>
  <c r="BS132" i="6" s="1"/>
  <c r="AH170" i="6" s="1"/>
  <c r="AZ132" i="6"/>
  <c r="BR132" i="6" s="1"/>
  <c r="AG170" i="6" s="1"/>
  <c r="AW132" i="6"/>
  <c r="BO132" i="6" s="1"/>
  <c r="AD170" i="6" s="1"/>
  <c r="AT132" i="6"/>
  <c r="BL132" i="6" s="1"/>
  <c r="AA170" i="6" s="1"/>
  <c r="BB132" i="6"/>
  <c r="BT132" i="6" s="1"/>
  <c r="AI170" i="6" s="1"/>
  <c r="AZ133" i="6"/>
  <c r="BR133" i="6" s="1"/>
  <c r="AG171" i="6" s="1"/>
  <c r="AM133" i="6"/>
  <c r="BE133" i="6" s="1"/>
  <c r="T171" i="6" s="1"/>
  <c r="AW133" i="6"/>
  <c r="BO133" i="6" s="1"/>
  <c r="AD171" i="6" s="1"/>
  <c r="BB133" i="6"/>
  <c r="BT133" i="6" s="1"/>
  <c r="AI171" i="6" s="1"/>
  <c r="BB134" i="6"/>
  <c r="BT134" i="6" s="1"/>
  <c r="AI172" i="6" s="1"/>
  <c r="BA134" i="6"/>
  <c r="BS134" i="6" s="1"/>
  <c r="AH172" i="6" s="1"/>
  <c r="AX134" i="6"/>
  <c r="BP134" i="6" s="1"/>
  <c r="AE172" i="6" s="1"/>
  <c r="BC134" i="6"/>
  <c r="BU134" i="6" s="1"/>
  <c r="AJ172" i="6" s="1"/>
  <c r="AM134" i="6"/>
  <c r="BE134" i="6" s="1"/>
  <c r="T172" i="6" s="1"/>
  <c r="AY134" i="6"/>
  <c r="BQ134" i="6" s="1"/>
  <c r="AF172" i="6" s="1"/>
  <c r="AY135" i="6"/>
  <c r="BQ135" i="6" s="1"/>
  <c r="AF173" i="6" s="1"/>
  <c r="BA135" i="6"/>
  <c r="BS135" i="6" s="1"/>
  <c r="AH173" i="6" s="1"/>
  <c r="BB135" i="6"/>
  <c r="BT135" i="6" s="1"/>
  <c r="AI173" i="6" s="1"/>
  <c r="BC135" i="6"/>
  <c r="BU135" i="6" s="1"/>
  <c r="AJ173" i="6" s="1"/>
  <c r="AW135" i="6"/>
  <c r="BO135" i="6" s="1"/>
  <c r="AD173" i="6" s="1"/>
  <c r="AZ135" i="6"/>
  <c r="BR135" i="6" s="1"/>
  <c r="AG173" i="6" s="1"/>
  <c r="AX135" i="6"/>
  <c r="BP135" i="6" s="1"/>
  <c r="AE173" i="6" s="1"/>
  <c r="AY136" i="6"/>
  <c r="BQ136" i="6" s="1"/>
  <c r="AF174" i="6" s="1"/>
  <c r="AZ136" i="6"/>
  <c r="BR136" i="6" s="1"/>
  <c r="AG174" i="6" s="1"/>
  <c r="BA136" i="6"/>
  <c r="BS136" i="6" s="1"/>
  <c r="AH174" i="6" s="1"/>
  <c r="BB136" i="6"/>
  <c r="BT136" i="6" s="1"/>
  <c r="AI174" i="6" s="1"/>
  <c r="AX136" i="6"/>
  <c r="BP136" i="6" s="1"/>
  <c r="AE174" i="6" s="1"/>
  <c r="BC136" i="6"/>
  <c r="BU136" i="6" s="1"/>
  <c r="AJ174" i="6" s="1"/>
  <c r="AX137" i="6"/>
  <c r="BP137" i="6" s="1"/>
  <c r="AE175" i="6" s="1"/>
  <c r="AY137" i="6"/>
  <c r="BQ137" i="6" s="1"/>
  <c r="AF175" i="6" s="1"/>
  <c r="AQ137" i="6"/>
  <c r="BI137" i="6" s="1"/>
  <c r="X175" i="6" s="1"/>
  <c r="BA137" i="6"/>
  <c r="BS137" i="6" s="1"/>
  <c r="AH175" i="6" s="1"/>
  <c r="AN137" i="6"/>
  <c r="BF137" i="6" s="1"/>
  <c r="U175" i="6" s="1"/>
  <c r="AP137" i="6"/>
  <c r="BH137" i="6" s="1"/>
  <c r="W175" i="6" s="1"/>
  <c r="AR137" i="6"/>
  <c r="BJ137" i="6" s="1"/>
  <c r="Y175" i="6" s="1"/>
  <c r="BC137" i="6"/>
  <c r="BU137" i="6" s="1"/>
  <c r="AJ175" i="6" s="1"/>
  <c r="BB137" i="6"/>
  <c r="BT137" i="6" s="1"/>
  <c r="AI175" i="6" s="1"/>
  <c r="AN138" i="6"/>
  <c r="BF138" i="6" s="1"/>
  <c r="U176" i="6" s="1"/>
  <c r="BC138" i="6"/>
  <c r="BU138" i="6" s="1"/>
  <c r="AJ176" i="6" s="1"/>
  <c r="AY138" i="6"/>
  <c r="BQ138" i="6" s="1"/>
  <c r="AF176" i="6" s="1"/>
  <c r="AO138" i="6"/>
  <c r="BG138" i="6" s="1"/>
  <c r="V176" i="6" s="1"/>
  <c r="BB138" i="6"/>
  <c r="BT138" i="6" s="1"/>
  <c r="AI176" i="6" s="1"/>
  <c r="AW138" i="6"/>
  <c r="BO138" i="6" s="1"/>
  <c r="AD176" i="6" s="1"/>
  <c r="BA138" i="6"/>
  <c r="BS138" i="6" s="1"/>
  <c r="AH176" i="6" s="1"/>
  <c r="AZ138" i="6"/>
  <c r="BR138" i="6" s="1"/>
  <c r="AG176" i="6" s="1"/>
  <c r="AX138" i="6"/>
  <c r="BP138" i="6" s="1"/>
  <c r="AE176" i="6" s="1"/>
  <c r="AR138" i="6"/>
  <c r="BJ138" i="6" s="1"/>
  <c r="Y176" i="6" s="1"/>
  <c r="AS138" i="6"/>
  <c r="BK138" i="6" s="1"/>
  <c r="Z176" i="6" s="1"/>
  <c r="AP138" i="6"/>
  <c r="BH138" i="6" s="1"/>
  <c r="W176" i="6" s="1"/>
  <c r="AM148" i="6"/>
  <c r="BE148" i="6" s="1"/>
  <c r="T186" i="6" s="1"/>
  <c r="AW148" i="6"/>
  <c r="BO148" i="6" s="1"/>
  <c r="AD186" i="6" s="1"/>
  <c r="BB123" i="6"/>
  <c r="BT123" i="6" s="1"/>
  <c r="AI161" i="6" s="1"/>
  <c r="AQ123" i="6"/>
  <c r="BI123" i="6" s="1"/>
  <c r="X161" i="6" s="1"/>
  <c r="AW123" i="6"/>
  <c r="BO123" i="6" s="1"/>
  <c r="AD161" i="6" s="1"/>
  <c r="AX123" i="6"/>
  <c r="BP123" i="6" s="1"/>
  <c r="AE161" i="6" s="1"/>
  <c r="AP123" i="6"/>
  <c r="BH123" i="6" s="1"/>
  <c r="W161" i="6" s="1"/>
  <c r="BC123" i="6"/>
  <c r="BU123" i="6" s="1"/>
  <c r="AJ161" i="6" s="1"/>
  <c r="AR123" i="6"/>
  <c r="BJ123" i="6" s="1"/>
  <c r="Y161" i="6" s="1"/>
  <c r="AN123" i="6"/>
  <c r="BF123" i="6" s="1"/>
  <c r="U161" i="6" s="1"/>
  <c r="BA123" i="6"/>
  <c r="BS123" i="6" s="1"/>
  <c r="AH161" i="6" s="1"/>
  <c r="AP139" i="6"/>
  <c r="BH139" i="6" s="1"/>
  <c r="W177" i="6" s="1"/>
  <c r="BA139" i="6"/>
  <c r="BS139" i="6" s="1"/>
  <c r="AH177" i="6" s="1"/>
  <c r="AQ139" i="6"/>
  <c r="BI139" i="6" s="1"/>
  <c r="X177" i="6" s="1"/>
  <c r="AN139" i="6"/>
  <c r="BF139" i="6" s="1"/>
  <c r="U177" i="6" s="1"/>
  <c r="AS139" i="6"/>
  <c r="BK139" i="6" s="1"/>
  <c r="Z177" i="6" s="1"/>
  <c r="AX139" i="6"/>
  <c r="BP139" i="6" s="1"/>
  <c r="AE177" i="6" s="1"/>
  <c r="AR139" i="6"/>
  <c r="BJ139" i="6" s="1"/>
  <c r="Y177" i="6" s="1"/>
  <c r="AM139" i="6"/>
  <c r="BE139" i="6" s="1"/>
  <c r="T177" i="6" s="1"/>
  <c r="AY139" i="6"/>
  <c r="BQ139" i="6" s="1"/>
  <c r="AF177" i="6" s="1"/>
  <c r="AW139" i="6"/>
  <c r="BO139" i="6" s="1"/>
  <c r="AD177" i="6" s="1"/>
  <c r="AY140" i="6"/>
  <c r="BQ140" i="6" s="1"/>
  <c r="AF178" i="6" s="1"/>
  <c r="BB140" i="6"/>
  <c r="BT140" i="6" s="1"/>
  <c r="AI178" i="6" s="1"/>
  <c r="AN140" i="6"/>
  <c r="BF140" i="6" s="1"/>
  <c r="U178" i="6" s="1"/>
  <c r="AP140" i="6"/>
  <c r="BH140" i="6" s="1"/>
  <c r="W178" i="6" s="1"/>
  <c r="BA140" i="6"/>
  <c r="BS140" i="6" s="1"/>
  <c r="AH178" i="6" s="1"/>
  <c r="AS140" i="6"/>
  <c r="BK140" i="6" s="1"/>
  <c r="Z178" i="6" s="1"/>
  <c r="AR140" i="6"/>
  <c r="BJ140" i="6" s="1"/>
  <c r="Y178" i="6" s="1"/>
  <c r="AM140" i="6"/>
  <c r="BE140" i="6" s="1"/>
  <c r="T178" i="6" s="1"/>
  <c r="AW140" i="6"/>
  <c r="BO140" i="6" s="1"/>
  <c r="AD178" i="6" s="1"/>
  <c r="AX140" i="6"/>
  <c r="BP140" i="6" s="1"/>
  <c r="AE178" i="6" s="1"/>
  <c r="BC140" i="6"/>
  <c r="BU140" i="6" s="1"/>
  <c r="AJ178" i="6" s="1"/>
  <c r="BB141" i="6"/>
  <c r="BT141" i="6" s="1"/>
  <c r="AI179" i="6" s="1"/>
  <c r="BC141" i="6"/>
  <c r="BU141" i="6" s="1"/>
  <c r="AJ179" i="6" s="1"/>
  <c r="BA141" i="6"/>
  <c r="BS141" i="6" s="1"/>
  <c r="AH179" i="6" s="1"/>
  <c r="AY141" i="6"/>
  <c r="BQ141" i="6" s="1"/>
  <c r="AF179" i="6" s="1"/>
  <c r="AX141" i="6"/>
  <c r="BP141" i="6" s="1"/>
  <c r="AE179" i="6" s="1"/>
  <c r="AM141" i="6"/>
  <c r="BE141" i="6" s="1"/>
  <c r="T179" i="6" s="1"/>
  <c r="AW141" i="6"/>
  <c r="BO141" i="6" s="1"/>
  <c r="AD179" i="6" s="1"/>
  <c r="BA143" i="6"/>
  <c r="BS143" i="6" s="1"/>
  <c r="AH181" i="6" s="1"/>
  <c r="BC143" i="6"/>
  <c r="BU143" i="6" s="1"/>
  <c r="AJ181" i="6" s="1"/>
  <c r="BB143" i="6"/>
  <c r="BT143" i="6" s="1"/>
  <c r="AI181" i="6" s="1"/>
  <c r="AV143" i="6"/>
  <c r="BN143" i="6" s="1"/>
  <c r="AC181" i="6" s="1"/>
  <c r="AW143" i="6"/>
  <c r="BO143" i="6" s="1"/>
  <c r="AD181" i="6" s="1"/>
  <c r="AX143" i="6"/>
  <c r="BP143" i="6" s="1"/>
  <c r="AE181" i="6" s="1"/>
  <c r="AY143" i="6"/>
  <c r="BQ143" i="6" s="1"/>
  <c r="AF181" i="6" s="1"/>
  <c r="BC144" i="6"/>
  <c r="BU144" i="6" s="1"/>
  <c r="AJ182" i="6" s="1"/>
  <c r="BA144" i="6"/>
  <c r="BS144" i="6" s="1"/>
  <c r="AH182" i="6" s="1"/>
  <c r="BB144" i="6"/>
  <c r="BT144" i="6" s="1"/>
  <c r="AI182" i="6" s="1"/>
  <c r="AZ144" i="6"/>
  <c r="BR144" i="6" s="1"/>
  <c r="AG182" i="6" s="1"/>
  <c r="AU144" i="6"/>
  <c r="BM144" i="6" s="1"/>
  <c r="AB182" i="6" s="1"/>
  <c r="AV144" i="6"/>
  <c r="BN144" i="6" s="1"/>
  <c r="AC182" i="6" s="1"/>
  <c r="AX144" i="6"/>
  <c r="BP144" i="6" s="1"/>
  <c r="AE182" i="6" s="1"/>
  <c r="AW144" i="6"/>
  <c r="BO144" i="6" s="1"/>
  <c r="AD182" i="6" s="1"/>
  <c r="AY144" i="6"/>
  <c r="BQ144" i="6" s="1"/>
  <c r="AF182" i="6" s="1"/>
  <c r="AR142" i="6"/>
  <c r="BJ142" i="6" s="1"/>
  <c r="Y180" i="6" s="1"/>
  <c r="AS142" i="6"/>
  <c r="BK142" i="6" s="1"/>
  <c r="Z180" i="6" s="1"/>
  <c r="AQ142" i="6"/>
  <c r="BI142" i="6" s="1"/>
  <c r="X180" i="6" s="1"/>
  <c r="BB142" i="6"/>
  <c r="BT142" i="6" s="1"/>
  <c r="AI180" i="6" s="1"/>
  <c r="AY142" i="6"/>
  <c r="BQ142" i="6" s="1"/>
  <c r="AF180" i="6" s="1"/>
  <c r="BC142" i="6"/>
  <c r="BU142" i="6" s="1"/>
  <c r="AJ180" i="6" s="1"/>
  <c r="AN142" i="6"/>
  <c r="BF142" i="6" s="1"/>
  <c r="U180" i="6" s="1"/>
  <c r="AT142" i="6"/>
  <c r="BL142" i="6" s="1"/>
  <c r="AA180" i="6" s="1"/>
  <c r="AM142" i="6"/>
  <c r="BE142" i="6" s="1"/>
  <c r="T180" i="6" s="1"/>
  <c r="AZ142" i="6"/>
  <c r="BR142" i="6" s="1"/>
  <c r="AG180" i="6" s="1"/>
  <c r="AW142" i="6"/>
  <c r="BO142" i="6" s="1"/>
  <c r="AD180" i="6" s="1"/>
  <c r="AV142" i="6"/>
  <c r="BN142" i="6" s="1"/>
  <c r="AC180" i="6" s="1"/>
  <c r="AP142" i="6"/>
  <c r="BH142" i="6" s="1"/>
  <c r="W180" i="6" s="1"/>
  <c r="AO142" i="6"/>
  <c r="BG142" i="6" s="1"/>
  <c r="V180" i="6" s="1"/>
  <c r="BA142" i="6"/>
  <c r="BS142" i="6" s="1"/>
  <c r="AH180" i="6" s="1"/>
  <c r="AX142" i="6"/>
  <c r="BP142" i="6" s="1"/>
  <c r="AE180" i="6" s="1"/>
  <c r="AU136" i="6"/>
  <c r="BM136" i="6" s="1"/>
  <c r="AB174" i="6" s="1"/>
  <c r="AU127" i="6"/>
  <c r="BM127" i="6" s="1"/>
  <c r="AB165" i="6" s="1"/>
  <c r="AU133" i="6"/>
  <c r="BM133" i="6" s="1"/>
  <c r="AB171" i="6" s="1"/>
  <c r="AU143" i="6"/>
  <c r="BM143" i="6" s="1"/>
  <c r="AB181" i="6" s="1"/>
  <c r="AU126" i="6"/>
  <c r="BM126" i="6" s="1"/>
  <c r="AB164" i="6" s="1"/>
  <c r="AU130" i="6"/>
  <c r="BM130" i="6" s="1"/>
  <c r="AB168" i="6" s="1"/>
  <c r="AU129" i="6"/>
  <c r="BM129" i="6" s="1"/>
  <c r="AB167" i="6" s="1"/>
  <c r="AU128" i="6"/>
  <c r="BM128" i="6" s="1"/>
  <c r="AB166" i="6" s="1"/>
  <c r="AU142" i="6"/>
  <c r="BM142" i="6" s="1"/>
  <c r="AB180" i="6" s="1"/>
  <c r="AU123" i="6"/>
  <c r="BM123" i="6" s="1"/>
  <c r="AB161" i="6" s="1"/>
  <c r="AT143" i="6"/>
  <c r="BL143" i="6" s="1"/>
  <c r="AA181" i="6" s="1"/>
  <c r="AO140" i="6"/>
  <c r="BG140" i="6" s="1"/>
  <c r="V178" i="6" s="1"/>
  <c r="AO139" i="6"/>
  <c r="BG139" i="6" s="1"/>
  <c r="V177" i="6" s="1"/>
  <c r="AO137" i="6"/>
  <c r="BG137" i="6" s="1"/>
  <c r="V175" i="6" s="1"/>
  <c r="AO135" i="6"/>
  <c r="BG135" i="6" s="1"/>
  <c r="V173" i="6" s="1"/>
  <c r="AO145" i="6"/>
  <c r="BG145" i="6" s="1"/>
  <c r="V183" i="6" s="1"/>
  <c r="AO144" i="6"/>
  <c r="BG144" i="6" s="1"/>
  <c r="V182" i="6" s="1"/>
  <c r="AO141" i="6"/>
  <c r="BG141" i="6" s="1"/>
  <c r="V179" i="6" s="1"/>
  <c r="AO128" i="6"/>
  <c r="BG128" i="6" s="1"/>
  <c r="V166" i="6" s="1"/>
  <c r="AO127" i="6"/>
  <c r="BG127" i="6" s="1"/>
  <c r="V165" i="6" s="1"/>
  <c r="AO143" i="6"/>
  <c r="BG143" i="6" s="1"/>
  <c r="V181" i="6" s="1"/>
  <c r="AQ126" i="6"/>
  <c r="BI126" i="6" s="1"/>
  <c r="X164" i="6" s="1"/>
  <c r="AQ125" i="6"/>
  <c r="BI125" i="6" s="1"/>
  <c r="X163" i="6" s="1"/>
  <c r="AQ148" i="6"/>
  <c r="BI148" i="6" s="1"/>
  <c r="X186" i="6" s="1"/>
  <c r="AQ147" i="6"/>
  <c r="BI147" i="6" s="1"/>
  <c r="X185" i="6" s="1"/>
  <c r="AQ146" i="6"/>
  <c r="BI146" i="6" s="1"/>
  <c r="X184" i="6" s="1"/>
  <c r="AQ144" i="6"/>
  <c r="BI144" i="6" s="1"/>
  <c r="X182" i="6" s="1"/>
  <c r="AQ138" i="6"/>
  <c r="BI138" i="6" s="1"/>
  <c r="X176" i="6" s="1"/>
  <c r="AQ141" i="6"/>
  <c r="BI141" i="6" s="1"/>
  <c r="X179" i="6" s="1"/>
  <c r="AQ143" i="6"/>
  <c r="BI143" i="6" s="1"/>
  <c r="X181" i="6" s="1"/>
  <c r="AQ140" i="6"/>
  <c r="BI140" i="6" s="1"/>
  <c r="X178" i="6" s="1"/>
  <c r="G20" i="6"/>
  <c r="BA148" i="6"/>
  <c r="BS148" i="6" s="1"/>
  <c r="AH186" i="6" s="1"/>
  <c r="AY123" i="6"/>
  <c r="BQ123" i="6" s="1"/>
  <c r="AF161" i="6" s="1"/>
  <c r="AY148" i="6"/>
  <c r="BQ148" i="6" s="1"/>
  <c r="AF186" i="6" s="1"/>
  <c r="AO123" i="6"/>
  <c r="BG123" i="6" s="1"/>
  <c r="V161" i="6" s="1"/>
  <c r="AO148" i="6"/>
  <c r="BG148" i="6" s="1"/>
  <c r="V186" i="6" s="1"/>
  <c r="X30" i="2"/>
  <c r="F36" i="6" l="1"/>
  <c r="H37" i="6"/>
  <c r="H42" i="6"/>
  <c r="E49" i="6"/>
  <c r="D50" i="6"/>
  <c r="H38" i="6"/>
  <c r="I38" i="6"/>
  <c r="I37" i="6"/>
  <c r="I39" i="6" s="1"/>
  <c r="I42" i="6"/>
  <c r="H39" i="6" l="1"/>
  <c r="J39" i="6" s="1"/>
  <c r="J4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<sst xmlns="http://schemas.openxmlformats.org/spreadsheetml/2006/main" count="248" uniqueCount="130">
  <si>
    <t>Year</t>
  </si>
  <si>
    <t>ExchangeRate (Export Competitors - Corn)</t>
  </si>
  <si>
    <t>Ending Stocks</t>
  </si>
  <si>
    <t>World: Ending Stocks</t>
  </si>
  <si>
    <t>World Pop (SPPOPTOTLWLD)</t>
  </si>
  <si>
    <t>US pop (1000s) (B230RC0A052NBEA)</t>
  </si>
  <si>
    <t>USGDP (GDP)</t>
  </si>
  <si>
    <t>PCE Index (PCEPI)</t>
  </si>
  <si>
    <t>Total Usage</t>
  </si>
  <si>
    <t>Real MYA Price</t>
  </si>
  <si>
    <t>Supply</t>
  </si>
  <si>
    <t>Supply Index</t>
  </si>
  <si>
    <t xml:space="preserve">Invert Supply </t>
  </si>
  <si>
    <t>Elasticity</t>
  </si>
  <si>
    <t>p^-.17 (P epsolon)</t>
  </si>
  <si>
    <t>A</t>
  </si>
  <si>
    <t>Demand Index</t>
  </si>
  <si>
    <t>(From earlier efforts</t>
  </si>
  <si>
    <t>Supply/Demand Strengh</t>
  </si>
  <si>
    <t>S/D Index</t>
  </si>
  <si>
    <t>inverted elasticiy</t>
  </si>
  <si>
    <t>* convert prices into a quantity-equalivent reponses</t>
  </si>
  <si>
    <t>* clean demand-shift index</t>
  </si>
  <si>
    <t>Est</t>
  </si>
  <si>
    <t>Error</t>
  </si>
  <si>
    <t>2025 base</t>
  </si>
  <si>
    <t>unchanged usage</t>
  </si>
  <si>
    <t>unchanged supply</t>
  </si>
  <si>
    <t>total abs error divided by #years (avg annual error)</t>
  </si>
  <si>
    <t>Sup2Usage</t>
  </si>
  <si>
    <t>S2U</t>
  </si>
  <si>
    <t>Supply/Demand Strenght</t>
  </si>
  <si>
    <t>Demand trendline</t>
  </si>
  <si>
    <t>obs</t>
  </si>
  <si>
    <t>trend</t>
  </si>
  <si>
    <t>depart from trend</t>
  </si>
  <si>
    <t>2020X</t>
  </si>
  <si>
    <t>mean</t>
  </si>
  <si>
    <t>min</t>
  </si>
  <si>
    <t>max</t>
  </si>
  <si>
    <t>Assumed usage</t>
  </si>
  <si>
    <t>stdev</t>
  </si>
  <si>
    <t>Usage</t>
  </si>
  <si>
    <t xml:space="preserve">Supply </t>
  </si>
  <si>
    <t>Est Price</t>
  </si>
  <si>
    <t>Supply trend</t>
  </si>
  <si>
    <t>dept from trend</t>
  </si>
  <si>
    <t>xxxx</t>
  </si>
  <si>
    <t>Supp/dem</t>
  </si>
  <si>
    <t>Index</t>
  </si>
  <si>
    <t>trendline supp/dem</t>
  </si>
  <si>
    <t>a</t>
  </si>
  <si>
    <t>Implied usage</t>
  </si>
  <si>
    <t>if they input usage and supply… we still need demand??</t>
  </si>
  <si>
    <t>--&gt; I think the current table is too wide of range of posstential outcomes. Ie $35 corn isn't a feasible outcome</t>
  </si>
  <si>
    <t>Est Price with a Usage and Supply est</t>
  </si>
  <si>
    <t>avg</t>
  </si>
  <si>
    <t>range</t>
  </si>
  <si>
    <t>Low</t>
  </si>
  <si>
    <t>New Tool with demand known</t>
  </si>
  <si>
    <t>S2U model</t>
  </si>
  <si>
    <t>New Tool w/out tool known</t>
  </si>
  <si>
    <t>Trendline Demand Index</t>
  </si>
  <si>
    <t>Dep from trendline</t>
  </si>
  <si>
    <t>New Tool w/ directional demand</t>
  </si>
  <si>
    <t>Change from last year</t>
  </si>
  <si>
    <t>Corn Supply</t>
  </si>
  <si>
    <t>Mod</t>
  </si>
  <si>
    <t>High</t>
  </si>
  <si>
    <t>Norm Demand</t>
  </si>
  <si>
    <t>med</t>
  </si>
  <si>
    <t>high</t>
  </si>
  <si>
    <t>xxxxx</t>
  </si>
  <si>
    <t>Change from 2024</t>
  </si>
  <si>
    <t>Change in obs price</t>
  </si>
  <si>
    <t>Demand</t>
  </si>
  <si>
    <t>Change Supp</t>
  </si>
  <si>
    <t>change in demand</t>
  </si>
  <si>
    <t>Avg</t>
  </si>
  <si>
    <t>Range</t>
  </si>
  <si>
    <t>Prob of Outcome</t>
  </si>
  <si>
    <t>New Tool with simple est of demand</t>
  </si>
  <si>
    <t>Est Demand Adj</t>
  </si>
  <si>
    <t>Reported Index Value</t>
  </si>
  <si>
    <t>Trendline Value</t>
  </si>
  <si>
    <t>Dep From Demand Index Trendline</t>
  </si>
  <si>
    <t>Trendline Usage</t>
  </si>
  <si>
    <t>Estimated Dep from Trendline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</si>
  <si>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</si>
  <si>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</si>
  <si>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</si>
  <si>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</si>
  <si>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</si>
  <si>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</si>
  <si>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</si>
  <si>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</si>
  <si>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</si>
  <si>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</si>
  <si>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</si>
  <si>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</si>
  <si>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</si>
  <si>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</si>
  <si>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</si>
  <si>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</si>
  <si>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</si>
  <si>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</si>
  <si>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</si>
  <si>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</si>
  <si>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</si>
  <si>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</si>
  <si>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</si>
  <si>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</si>
  <si>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Hidden calc</t>
  </si>
  <si>
    <t>Demand Index Trend Value</t>
  </si>
  <si>
    <t>Corn Usage</t>
  </si>
  <si>
    <t>Adj</t>
  </si>
  <si>
    <t>Assumed Demand Index</t>
  </si>
  <si>
    <t>Trendlines Usage</t>
  </si>
  <si>
    <t>Trendline Usage Dep</t>
  </si>
  <si>
    <t>FROM "Est. Demant Index" WORKSHEET</t>
  </si>
  <si>
    <t>Tool #1. Estimate point price using user-inputted Supply and Usage</t>
  </si>
  <si>
    <t>Future Efforts</t>
  </si>
  <si>
    <t>--&gt; Better demand index est (v1 in 'Est. Demand Index' worksheet</t>
  </si>
  <si>
    <t>--&gt; include 'is this combination of supply and usage feasible</t>
  </si>
  <si>
    <t>--&gt; include a graph to show how far up/down the index/price line est are</t>
  </si>
  <si>
    <t>Tool #2. Range of Price Given Supply (unknown usage)</t>
  </si>
  <si>
    <t>User-input</t>
  </si>
  <si>
    <t>Output</t>
  </si>
  <si>
    <t>Tool #3. Source of change in price estimates (since 2004 and throughout 2025)</t>
  </si>
  <si>
    <t>I don't have this figure out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</si>
</sst>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0.000000000"/>
    <numFmt numFmtId="168" formatCode="0.00000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3" fillId="7" borderId="0" xfId="0" applyFont="1" applyFill="1"/>
    <xf numFmtId="2" fontId="0" fillId="2" borderId="0" xfId="0" applyNumberFormat="1" applyFill="1"/>
    <xf numFmtId="0" fontId="3" fillId="2" borderId="0" xfId="0" applyFont="1" applyFill="1"/>
    <xf numFmtId="0" fontId="0" fillId="8" borderId="0" xfId="0" applyFill="1"/>
    <xf numFmtId="2" fontId="0" fillId="0" borderId="0" xfId="0" applyNumberFormat="1"/>
    <xf numFmtId="0" fontId="0" fillId="9" borderId="0" xfId="0" applyFill="1"/>
    <xf numFmtId="0" fontId="5" fillId="0" borderId="0" xfId="0" applyFont="1"/>
    <xf numFmtId="0" fontId="5" fillId="5" borderId="0" xfId="0" applyFont="1" applyFill="1"/>
    <xf numFmtId="0" fontId="2" fillId="0" borderId="0" xfId="0" applyFont="1"/>
    <xf numFmtId="0" fontId="0" fillId="0" borderId="0" xfId="0" quotePrefix="1"/>
    <xf numFmtId="164" fontId="0" fillId="0" borderId="0" xfId="0" applyNumberFormat="1"/>
    <xf numFmtId="2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10" borderId="0" xfId="0" applyFill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167" fontId="0" fillId="0" borderId="0" xfId="0" applyNumberFormat="1"/>
    <xf numFmtId="0" fontId="0" fillId="0" borderId="0" xfId="0" applyFill="1"/>
    <xf numFmtId="166" fontId="0" fillId="0" borderId="0" xfId="0" applyNumberFormat="1" applyFill="1"/>
    <xf numFmtId="0" fontId="0" fillId="0" borderId="0" xfId="0" applyBorder="1"/>
    <xf numFmtId="0" fontId="0" fillId="0" borderId="0" xfId="0" applyFill="1" applyBorder="1"/>
    <xf numFmtId="166" fontId="0" fillId="0" borderId="0" xfId="0" applyNumberFormat="1" applyFill="1" applyBorder="1"/>
    <xf numFmtId="164" fontId="0" fillId="0" borderId="0" xfId="0" applyNumberFormat="1" applyFill="1" applyBorder="1"/>
    <xf numFmtId="0" fontId="0" fillId="0" borderId="0" xfId="0" quotePrefix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2" fillId="0" borderId="0" xfId="0" applyFont="1" applyFill="1" applyBorder="1"/>
    <xf numFmtId="0" fontId="8" fillId="0" borderId="0" xfId="0" applyFont="1" applyFill="1" applyBorder="1"/>
    <xf numFmtId="2" fontId="0" fillId="0" borderId="0" xfId="0" applyNumberForma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167" fontId="0" fillId="0" borderId="0" xfId="0" applyNumberFormat="1" applyFill="1" applyBorder="1"/>
    <xf numFmtId="0" fontId="0" fillId="0" borderId="9" xfId="0" applyBorder="1"/>
    <xf numFmtId="0" fontId="0" fillId="0" borderId="10" xfId="0" applyBorder="1"/>
    <xf numFmtId="0" fontId="0" fillId="4" borderId="10" xfId="0" applyFill="1" applyBorder="1"/>
    <xf numFmtId="0" fontId="0" fillId="4" borderId="11" xfId="0" applyFill="1" applyBorder="1"/>
    <xf numFmtId="2" fontId="0" fillId="0" borderId="1" xfId="0" applyNumberFormat="1" applyBorder="1"/>
    <xf numFmtId="168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11" borderId="0" xfId="0" applyFill="1"/>
    <xf numFmtId="0" fontId="2" fillId="12" borderId="0" xfId="0" applyFont="1" applyFill="1"/>
    <xf numFmtId="0" fontId="0" fillId="12" borderId="0" xfId="0" applyFill="1"/>
    <xf numFmtId="0" fontId="2" fillId="3" borderId="0" xfId="0" applyFont="1" applyFill="1"/>
    <xf numFmtId="2" fontId="0" fillId="4" borderId="0" xfId="0" applyNumberFormat="1" applyFill="1" applyBorder="1"/>
    <xf numFmtId="2" fontId="0" fillId="4" borderId="5" xfId="0" applyNumberFormat="1" applyFill="1" applyBorder="1"/>
    <xf numFmtId="2" fontId="0" fillId="4" borderId="2" xfId="0" applyNumberFormat="1" applyFill="1" applyBorder="1"/>
    <xf numFmtId="2" fontId="0" fillId="4" borderId="7" xfId="0" applyNumberFormat="1" applyFill="1" applyBorder="1"/>
    <xf numFmtId="0" fontId="11" fillId="0" borderId="0" xfId="0" applyFont="1" applyFill="1"/>
    <xf numFmtId="166" fontId="0" fillId="4" borderId="0" xfId="0" applyNumberFormat="1" applyFill="1"/>
    <xf numFmtId="0" fontId="11" fillId="4" borderId="0" xfId="0" applyFont="1" applyFill="1"/>
    <xf numFmtId="2" fontId="0" fillId="0" borderId="4" xfId="0" applyNumberFormat="1" applyFill="1" applyBorder="1"/>
    <xf numFmtId="2" fontId="0" fillId="0" borderId="5" xfId="0" applyNumberFormat="1" applyFill="1" applyBorder="1"/>
    <xf numFmtId="2" fontId="0" fillId="0" borderId="2" xfId="0" applyNumberFormat="1" applyFill="1" applyBorder="1"/>
    <xf numFmtId="2" fontId="0" fillId="0" borderId="7" xfId="0" applyNumberFormat="1" applyFill="1" applyBorder="1"/>
    <xf numFmtId="2" fontId="11" fillId="4" borderId="4" xfId="0" applyNumberFormat="1" applyFont="1" applyFill="1" applyBorder="1"/>
    <xf numFmtId="2" fontId="11" fillId="4" borderId="0" xfId="0" applyNumberFormat="1" applyFont="1" applyFill="1" applyBorder="1"/>
    <xf numFmtId="2" fontId="7" fillId="4" borderId="0" xfId="0" applyNumberFormat="1" applyFont="1" applyFill="1" applyBorder="1"/>
    <xf numFmtId="0" fontId="0" fillId="0" borderId="0" xfId="0" applyAlignment="1">
      <alignment horizontal="center"/>
    </xf>
    <xf numFmtId="44" fontId="0" fillId="10" borderId="0" xfId="1" applyFont="1" applyFill="1"/>
    <xf numFmtId="44" fontId="0" fillId="10" borderId="0" xfId="1" applyFont="1" applyFill="1" applyAlignment="1">
      <alignment horizontal="center"/>
    </xf>
    <xf numFmtId="2" fontId="11" fillId="0" borderId="0" xfId="0" applyNumberFormat="1" applyFont="1" applyFill="1" applyBorder="1"/>
    <xf numFmtId="2" fontId="5" fillId="4" borderId="0" xfId="0" applyNumberFormat="1" applyFont="1" applyFill="1" applyBorder="1"/>
    <xf numFmtId="0" fontId="5" fillId="11" borderId="0" xfId="0" applyFont="1" applyFill="1"/>
    <xf numFmtId="9" fontId="0" fillId="0" borderId="0" xfId="2" applyFont="1"/>
    <xf numFmtId="0" fontId="0" fillId="10" borderId="0" xfId="0" applyFill="1" applyAlignment="1">
      <alignment horizontal="center"/>
    </xf>
    <xf numFmtId="9" fontId="0" fillId="10" borderId="0" xfId="0" applyNumberFormat="1" applyFill="1"/>
    <xf numFmtId="44" fontId="0" fillId="0" borderId="0" xfId="1" applyFont="1" applyFill="1" applyAlignment="1">
      <alignment horizontal="center"/>
    </xf>
    <xf numFmtId="2" fontId="3" fillId="0" borderId="0" xfId="0" applyNumberFormat="1" applyFont="1"/>
    <xf numFmtId="0" fontId="12" fillId="0" borderId="12" xfId="0" applyFont="1" applyBorder="1" applyAlignment="1">
      <alignment horizontal="centerContinuous"/>
    </xf>
    <xf numFmtId="0" fontId="1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</cellXfs>
  <cellStyles count="7">
    <cellStyle name="Comma 2" xfId="5" xr:uid="{B049A03E-8E01-C24A-B43A-97E03254E2BE}"/>
    <cellStyle name="Currency" xfId="1" builtinId="4"/>
    <cellStyle name="Normal" xfId="0" builtinId="0"/>
    <cellStyle name="Normal 2" xfId="3" xr:uid="{00BCF166-3C86-F042-A2D1-912859794752}"/>
    <cellStyle name="Normal 3" xfId="4" xr:uid="{6D290BE9-DEC2-8744-B887-233ED243B4F3}"/>
    <cellStyle name="Percent" xfId="2" builtinId="5"/>
    <cellStyle name="Percent 2" xfId="6" xr:uid="{EF2463EA-A5F9-9C41-AB94-F7288725D978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Demand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185009413191367E-3"/>
                  <c:y val="-8.21470702752555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'Charts  ST Demand &amp; Market Tigh'!$P$11:$P$27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Tigh'!$S$11:$S$27</c:f>
              <c:numCache>
                <c:formatCode>General</c:formatCode>
                <c:ptCount val="17"/>
                <c:pt idx="0">
                  <c:v>100</c:v>
                </c:pt>
                <c:pt idx="1">
                  <c:v>100.15075846593106</c:v>
                </c:pt>
                <c:pt idx="2">
                  <c:v>97.454642891046817</c:v>
                </c:pt>
                <c:pt idx="3">
                  <c:v>97.871364886424516</c:v>
                </c:pt>
                <c:pt idx="4">
                  <c:v>107.28096040145527</c:v>
                </c:pt>
                <c:pt idx="5">
                  <c:v>113.86946142042065</c:v>
                </c:pt>
                <c:pt idx="6">
                  <c:v>113.61852908067587</c:v>
                </c:pt>
                <c:pt idx="7">
                  <c:v>122.46185280057122</c:v>
                </c:pt>
                <c:pt idx="8">
                  <c:v>124.39166994607459</c:v>
                </c:pt>
                <c:pt idx="9">
                  <c:v>112.44585133929104</c:v>
                </c:pt>
                <c:pt idx="10">
                  <c:v>112.22724985037833</c:v>
                </c:pt>
                <c:pt idx="11">
                  <c:v>132.55317493488326</c:v>
                </c:pt>
                <c:pt idx="12">
                  <c:v>134.70973891943967</c:v>
                </c:pt>
                <c:pt idx="13">
                  <c:v>129.37494017180271</c:v>
                </c:pt>
                <c:pt idx="14">
                  <c:v>119.52433072437067</c:v>
                </c:pt>
                <c:pt idx="15">
                  <c:v>123.76728933568128</c:v>
                </c:pt>
                <c:pt idx="16">
                  <c:v>119.1894810412763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6-3B49-9A1B-F9D45B0C0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966975"/>
        <c:axId val="1258978623"/>
      </c:lineChart>
      <c:catAx>
        <c:axId val="12589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8623"/>
        <c:crosses val="autoZero"/>
        <c:auto val="1"/>
        <c:lblAlgn val="ctr"/>
        <c:lblOffset val="100"/>
        <c:noMultiLvlLbl val="0"/>
      </c:catAx>
      <c:valAx>
        <c:axId val="12589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6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Supply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185009413191367E-3"/>
                  <c:y val="-8.21470702752555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'Charts  ST Demand &amp; Market Tigh'!$P$11:$P$27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Tigh'!$K$11:$K$27</c:f>
              <c:numCache>
                <c:formatCode>General</c:formatCode>
                <c:ptCount val="17"/>
                <c:pt idx="0">
                  <c:v>3513.7265435999998</c:v>
                </c:pt>
                <c:pt idx="1">
                  <c:v>3496.6039793999998</c:v>
                </c:pt>
                <c:pt idx="2">
                  <c:v>3328.3178333999995</c:v>
                </c:pt>
                <c:pt idx="3">
                  <c:v>3251.9644247999995</c:v>
                </c:pt>
                <c:pt idx="4">
                  <c:v>3569.3197616999996</c:v>
                </c:pt>
                <c:pt idx="5">
                  <c:v>4053.3077780999993</c:v>
                </c:pt>
                <c:pt idx="6">
                  <c:v>4140.9415025999997</c:v>
                </c:pt>
                <c:pt idx="7">
                  <c:v>4515.4700366999996</c:v>
                </c:pt>
                <c:pt idx="8">
                  <c:v>4735.0503878999998</c:v>
                </c:pt>
                <c:pt idx="9">
                  <c:v>4880.3349776999994</c:v>
                </c:pt>
                <c:pt idx="10">
                  <c:v>4491.5131442999991</c:v>
                </c:pt>
                <c:pt idx="11">
                  <c:v>4774.6600964999998</c:v>
                </c:pt>
                <c:pt idx="12">
                  <c:v>4737.4019847</c:v>
                </c:pt>
                <c:pt idx="13">
                  <c:v>4569.2995572</c:v>
                </c:pt>
                <c:pt idx="14">
                  <c:v>4447.0900110000002</c:v>
                </c:pt>
                <c:pt idx="15">
                  <c:v>4745.6325735</c:v>
                </c:pt>
                <c:pt idx="16">
                  <c:v>4606.6679000999993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7-AE4D-BFB9-01F3989D9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966975"/>
        <c:axId val="1258978623"/>
      </c:lineChart>
      <c:catAx>
        <c:axId val="12589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78623"/>
        <c:crosses val="autoZero"/>
        <c:auto val="1"/>
        <c:lblAlgn val="ctr"/>
        <c:lblOffset val="100"/>
        <c:noMultiLvlLbl val="0"/>
      </c:catAx>
      <c:valAx>
        <c:axId val="12589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6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Corn: Short-Term Demand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Tigh'!$A$65:$A$81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Tigh'!$E$65:$E$81</c:f>
              <c:numCache>
                <c:formatCode>General</c:formatCode>
                <c:ptCount val="17"/>
                <c:pt idx="0">
                  <c:v>99.752500000000012</c:v>
                </c:pt>
                <c:pt idx="1">
                  <c:v>97.269275397793209</c:v>
                </c:pt>
                <c:pt idx="2">
                  <c:v>86.245428673140438</c:v>
                </c:pt>
                <c:pt idx="3">
                  <c:v>84.560094659273545</c:v>
                </c:pt>
                <c:pt idx="4">
                  <c:v>109.85338120436583</c:v>
                </c:pt>
                <c:pt idx="5">
                  <c:v>126.68338426126196</c:v>
                </c:pt>
                <c:pt idx="6">
                  <c:v>122.99508724202759</c:v>
                </c:pt>
                <c:pt idx="7">
                  <c:v>146.58955840171365</c:v>
                </c:pt>
                <c:pt idx="8">
                  <c:v>149.44350983822375</c:v>
                </c:pt>
                <c:pt idx="9">
                  <c:v>110.67055401787313</c:v>
                </c:pt>
                <c:pt idx="10">
                  <c:v>107.07924955113496</c:v>
                </c:pt>
                <c:pt idx="11">
                  <c:v>165.12152480464977</c:v>
                </c:pt>
                <c:pt idx="12">
                  <c:v>168.65571675831902</c:v>
                </c:pt>
                <c:pt idx="13">
                  <c:v>149.71582051540813</c:v>
                </c:pt>
                <c:pt idx="14">
                  <c:v>117.22849217311203</c:v>
                </c:pt>
                <c:pt idx="15">
                  <c:v>127.02186800704384</c:v>
                </c:pt>
                <c:pt idx="16">
                  <c:v>110.35294312382888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F-DB4A-89DA-7239D5B771C7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Tigh'!$A$65:$A$81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Tigh'!$F$65:$F$81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F-DB4A-89DA-7239D5B77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377024"/>
        <c:axId val="522966272"/>
      </c:lineChart>
      <c:catAx>
        <c:axId val="5213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66272"/>
        <c:crosses val="autoZero"/>
        <c:auto val="1"/>
        <c:lblAlgn val="ctr"/>
        <c:lblOffset val="100"/>
        <c:noMultiLvlLbl val="0"/>
      </c:catAx>
      <c:valAx>
        <c:axId val="5229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7024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Corn Supply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Tigh'!$A$98:$A$114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Tigh'!$E$98:$E$114</c:f>
              <c:numCache>
                <c:formatCode>General</c:formatCode>
                <c:ptCount val="17"/>
                <c:pt idx="0">
                  <c:v>-197.00044344340154</c:v>
                </c:pt>
                <c:pt idx="1">
                  <c:v>-197.06198347449515</c:v>
                </c:pt>
                <c:pt idx="2">
                  <c:v>-197.24666785968168</c:v>
                </c:pt>
                <c:pt idx="3">
                  <c:v>-197.35083101766566</c:v>
                </c:pt>
                <c:pt idx="4">
                  <c:v>-197.13595204678029</c:v>
                </c:pt>
                <c:pt idx="5">
                  <c:v>-196.79569942883512</c:v>
                </c:pt>
                <c:pt idx="6">
                  <c:v>-196.77413189923038</c:v>
                </c:pt>
                <c:pt idx="7">
                  <c:v>-196.5328983053281</c:v>
                </c:pt>
                <c:pt idx="8">
                  <c:v>-196.41578582556156</c:v>
                </c:pt>
                <c:pt idx="9">
                  <c:v>-196.35739717740046</c:v>
                </c:pt>
                <c:pt idx="10">
                  <c:v>-196.69377509617209</c:v>
                </c:pt>
                <c:pt idx="11">
                  <c:v>-196.53309387440606</c:v>
                </c:pt>
                <c:pt idx="12">
                  <c:v>-196.60624946472552</c:v>
                </c:pt>
                <c:pt idx="13">
                  <c:v>-196.7699638652706</c:v>
                </c:pt>
                <c:pt idx="14">
                  <c:v>-196.89738627747374</c:v>
                </c:pt>
                <c:pt idx="15">
                  <c:v>-196.73176004594438</c:v>
                </c:pt>
                <c:pt idx="16">
                  <c:v>-196.86781888738699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F-4C46-B14E-FA8ECF84E2CF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Tigh'!$A$98:$A$114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'Charts  ST Demand &amp; Market Tigh'!$F$98:$F$114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F-4C46-B14E-FA8ECF84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377024"/>
        <c:axId val="522966272"/>
      </c:lineChart>
      <c:catAx>
        <c:axId val="5213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66272"/>
        <c:crosses val="autoZero"/>
        <c:auto val="1"/>
        <c:lblAlgn val="ctr"/>
        <c:lblOffset val="100"/>
        <c:noMultiLvlLbl val="0"/>
      </c:catAx>
      <c:valAx>
        <c:axId val="5229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7024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Corn Market Tightness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Tigh'!$P$2:$P$27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'Charts  ST Demand &amp; Market Tigh'!$AD$2:$AD$27</c:f>
              <c:numCache>
                <c:formatCode>General</c:formatCode>
                <c:ptCount val="26"/>
                <c:pt idx="0">
                  <c:v>99.148416480904814</c:v>
                </c:pt>
                <c:pt idx="1">
                  <c:v>100.76081405588042</c:v>
                </c:pt>
                <c:pt idx="2">
                  <c:v>101.42867781376619</c:v>
                </c:pt>
                <c:pt idx="3">
                  <c:v>103.31167509152419</c:v>
                </c:pt>
                <c:pt idx="4">
                  <c:v>99.397215308136751</c:v>
                </c:pt>
                <c:pt idx="5">
                  <c:v>93.337896667493141</c:v>
                </c:pt>
                <c:pt idx="6">
                  <c:v>90.968884072901929</c:v>
                </c:pt>
                <c:pt idx="7">
                  <c:v>101.12492202328932</c:v>
                </c:pt>
                <c:pt idx="8">
                  <c:v>103.2283360958794</c:v>
                </c:pt>
                <c:pt idx="9">
                  <c:v>103.27659972530346</c:v>
                </c:pt>
                <c:pt idx="10">
                  <c:v>101.27401550472355</c:v>
                </c:pt>
                <c:pt idx="11">
                  <c:v>102.41807910846529</c:v>
                </c:pt>
                <c:pt idx="12">
                  <c:v>103.24625862264068</c:v>
                </c:pt>
                <c:pt idx="13">
                  <c:v>105.12836166775223</c:v>
                </c:pt>
                <c:pt idx="14">
                  <c:v>102.83496744041764</c:v>
                </c:pt>
                <c:pt idx="15">
                  <c:v>102.7834207172581</c:v>
                </c:pt>
                <c:pt idx="16">
                  <c:v>100.70255014491096</c:v>
                </c:pt>
                <c:pt idx="17">
                  <c:v>97.925935209205534</c:v>
                </c:pt>
                <c:pt idx="18">
                  <c:v>87.455800240287402</c:v>
                </c:pt>
                <c:pt idx="19">
                  <c:v>94.971069108089111</c:v>
                </c:pt>
                <c:pt idx="20">
                  <c:v>102.10193987959981</c:v>
                </c:pt>
                <c:pt idx="21">
                  <c:v>101.65954323040904</c:v>
                </c:pt>
                <c:pt idx="22">
                  <c:v>101.6708281230807</c:v>
                </c:pt>
                <c:pt idx="23">
                  <c:v>99.601162611245613</c:v>
                </c:pt>
                <c:pt idx="24">
                  <c:v>100.52406753665588</c:v>
                </c:pt>
                <c:pt idx="25">
                  <c:v>99.718563520179231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F-8B4E-A752-545DA9CB5C7D}"/>
            </c:ext>
          </c:extLst>
        </c:ser>
        <c:ser>
          <c:idx val="2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'Charts  ST Demand &amp; Market Tigh'!$P$2:$P$27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'Charts  ST Demand &amp; Market Tigh'!$AE$2:$AE$27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F-8B4E-A752-545DA9CB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047936"/>
        <c:axId val="366019904"/>
      </c:lineChart>
      <c:catAx>
        <c:axId val="36604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019904"/>
        <c:crosses val="autoZero"/>
        <c:auto val="1"/>
        <c:lblAlgn val="ctr"/>
        <c:lblOffset val="100"/>
        <c:noMultiLvlLbl val="0"/>
      </c:catAx>
      <c:valAx>
        <c:axId val="3660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047936"/>
        <c:crosses val="autoZero"/>
        <c:crossBetween val="between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447069116360452E-4"/>
                  <c:y val="-6.98381452318460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'Est. Demand Index'!$A$28:$A$53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'Est. Demand Index'!$B$28:$B$53</c:f>
              <c:numCache>
                <c:formatCode>General</c:formatCode>
                <c:ptCount val="26"/>
                <c:pt idx="0">
                  <c:v>247415</c:v>
                </c:pt>
                <c:pt idx="1">
                  <c:v>249324</c:v>
                </c:pt>
                <c:pt idx="2">
                  <c:v>241082</c:v>
                </c:pt>
                <c:pt idx="3">
                  <c:v>259853</c:v>
                </c:pt>
                <c:pt idx="4">
                  <c:v>270791</c:v>
                </c:pt>
                <c:pt idx="5">
                  <c:v>286216</c:v>
                </c:pt>
                <c:pt idx="6">
                  <c:v>284661</c:v>
                </c:pt>
                <c:pt idx="7">
                  <c:v>323545</c:v>
                </c:pt>
                <c:pt idx="8">
                  <c:v>305006</c:v>
                </c:pt>
                <c:pt idx="9">
                  <c:v>331257</c:v>
                </c:pt>
                <c:pt idx="10">
                  <c:v>331057</c:v>
                </c:pt>
                <c:pt idx="11">
                  <c:v>317057</c:v>
                </c:pt>
                <c:pt idx="12">
                  <c:v>281518</c:v>
                </c:pt>
                <c:pt idx="13">
                  <c:v>341792</c:v>
                </c:pt>
                <c:pt idx="14">
                  <c:v>349258</c:v>
                </c:pt>
                <c:pt idx="15">
                  <c:v>347073</c:v>
                </c:pt>
                <c:pt idx="16">
                  <c:v>372098</c:v>
                </c:pt>
                <c:pt idx="17">
                  <c:v>375897</c:v>
                </c:pt>
                <c:pt idx="18">
                  <c:v>362041</c:v>
                </c:pt>
                <c:pt idx="19">
                  <c:v>351625</c:v>
                </c:pt>
                <c:pt idx="20">
                  <c:v>377990</c:v>
                </c:pt>
                <c:pt idx="21">
                  <c:v>378467</c:v>
                </c:pt>
                <c:pt idx="22">
                  <c:v>348145</c:v>
                </c:pt>
                <c:pt idx="23">
                  <c:v>380148</c:v>
                </c:pt>
                <c:pt idx="24">
                  <c:v>384705</c:v>
                </c:pt>
                <c:pt idx="25">
                  <c:v>413531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7-C44F-BFAB-6B4A44723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72384"/>
        <c:axId val="416240448"/>
      </c:lineChart>
      <c:catAx>
        <c:axId val="3822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40448"/>
        <c:crosses val="autoZero"/>
        <c:auto val="1"/>
        <c:lblAlgn val="ctr"/>
        <c:lblOffset val="100"/>
        <c:noMultiLvlLbl val="0"/>
      </c:catAx>
      <c:valAx>
        <c:axId val="4162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'Tool Ideas'!$T$191:$T$207</c:f>
              <c:numCache>
                <c:formatCode>General</c:formatCode>
                <c:ptCount val="17"/>
                <c:pt idx="0">
                  <c:v>106.76472178715882</c:v>
                </c:pt>
                <c:pt idx="1">
                  <c:v>109.09526827415395</c:v>
                </c:pt>
                <c:pt idx="2">
                  <c:v>112.68788839490624</c:v>
                </c:pt>
                <c:pt idx="3">
                  <c:v>112.69326731195572</c:v>
                </c:pt>
                <c:pt idx="4">
                  <c:v>113.19564869992034</c:v>
                </c:pt>
                <c:pt idx="5">
                  <c:v>113.7243076507313</c:v>
                </c:pt>
                <c:pt idx="6">
                  <c:v>114.10338189170572</c:v>
                </c:pt>
                <c:pt idx="7">
                  <c:v>115.07667746059765</c:v>
                </c:pt>
                <c:pt idx="8">
                  <c:v>115.65600000000001</c:v>
                </c:pt>
                <c:pt idx="9">
                  <c:v>117.51867199725064</c:v>
                </c:pt>
                <c:pt idx="10">
                  <c:v>117.70459317486191</c:v>
                </c:pt>
                <c:pt idx="11">
                  <c:v>117.73128725993023</c:v>
                </c:pt>
                <c:pt idx="12">
                  <c:v>118.21958956893215</c:v>
                </c:pt>
                <c:pt idx="13">
                  <c:v>118.51162878647095</c:v>
                </c:pt>
                <c:pt idx="14">
                  <c:v>119.8590194810684</c:v>
                </c:pt>
                <c:pt idx="15">
                  <c:v>121.11533740245537</c:v>
                </c:pt>
                <c:pt idx="16">
                  <c:v>123.89557511054765</c:v>
                </c:pt>
              </c:numCache>
            </c:numRef>
          </c:xVal>
          <c:yVal>
            <c:numRef>
              <c:f>'Tool Ideas'!$U$191:$U$207</c:f>
              <c:numCache>
                <c:formatCode>General</c:formatCode>
                <c:ptCount val="17"/>
                <c:pt idx="0">
                  <c:v>3.2252204345023223</c:v>
                </c:pt>
                <c:pt idx="1">
                  <c:v>3.405444365529906</c:v>
                </c:pt>
                <c:pt idx="2">
                  <c:v>3.7226675397179316</c:v>
                </c:pt>
                <c:pt idx="3">
                  <c:v>3.7231808873082803</c:v>
                </c:pt>
                <c:pt idx="4">
                  <c:v>3.7716570939520744</c:v>
                </c:pt>
                <c:pt idx="5">
                  <c:v>3.8238158839570078</c:v>
                </c:pt>
                <c:pt idx="6">
                  <c:v>3.8619521034474782</c:v>
                </c:pt>
                <c:pt idx="7">
                  <c:v>3.9627446167361517</c:v>
                </c:pt>
                <c:pt idx="8">
                  <c:v>4.0247464135458255</c:v>
                </c:pt>
                <c:pt idx="9">
                  <c:v>4.2346513059484359</c:v>
                </c:pt>
                <c:pt idx="10">
                  <c:v>4.2565126026344622</c:v>
                </c:pt>
                <c:pt idx="11">
                  <c:v>4.2596652614595047</c:v>
                </c:pt>
                <c:pt idx="12">
                  <c:v>4.3179546712688959</c:v>
                </c:pt>
                <c:pt idx="13">
                  <c:v>4.353382069396849</c:v>
                </c:pt>
                <c:pt idx="14">
                  <c:v>4.5224522346324543</c:v>
                </c:pt>
                <c:pt idx="15">
                  <c:v>4.6886792628419141</c:v>
                </c:pt>
                <c:pt idx="16">
                  <c:v>5.087747876933399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3-5D47-A8C3-A30C7454D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219584"/>
        <c:axId val="416220032"/>
      </c:scatterChart>
      <c:valAx>
        <c:axId val="4162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20032"/>
        <c:crosses val="autoZero"/>
        <c:crossBetween val="midCat"/>
      </c:valAx>
      <c:valAx>
        <c:axId val="4162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1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48359580052496"/>
                  <c:y val="7.37179206765820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'Tool Ideas'!$X$66:$X$91</c:f>
              <c:numCache>
                <c:formatCode>General</c:formatCode>
                <c:ptCount val="26"/>
                <c:pt idx="0">
                  <c:v>48.924870695448078</c:v>
                </c:pt>
                <c:pt idx="1">
                  <c:v>59.339821883821323</c:v>
                </c:pt>
                <c:pt idx="2">
                  <c:v>88.000016002408003</c:v>
                </c:pt>
                <c:pt idx="3">
                  <c:v>100.45141172064518</c:v>
                </c:pt>
                <c:pt idx="4">
                  <c:v>48.313334409016051</c:v>
                </c:pt>
                <c:pt idx="5">
                  <c:v>51.508041647484873</c:v>
                </c:pt>
                <c:pt idx="6">
                  <c:v>103.15516778696939</c:v>
                </c:pt>
                <c:pt idx="7">
                  <c:v>129.29363882740779</c:v>
                </c:pt>
                <c:pt idx="8">
                  <c:v>111.53820353133258</c:v>
                </c:pt>
                <c:pt idx="9">
                  <c:v>100</c:v>
                </c:pt>
                <c:pt idx="10">
                  <c:v>183.36815071690887</c:v>
                </c:pt>
                <c:pt idx="11">
                  <c:v>221.0373559773351</c:v>
                </c:pt>
                <c:pt idx="12">
                  <c:v>245.78372315899787</c:v>
                </c:pt>
                <c:pt idx="13">
                  <c:v>142.58768212318768</c:v>
                </c:pt>
                <c:pt idx="14">
                  <c:v>96.410307389444398</c:v>
                </c:pt>
                <c:pt idx="15">
                  <c:v>91.750987243253803</c:v>
                </c:pt>
                <c:pt idx="16">
                  <c:v>73.148152016672029</c:v>
                </c:pt>
                <c:pt idx="17">
                  <c:v>77.080785034069407</c:v>
                </c:pt>
                <c:pt idx="18">
                  <c:v>76.697678715655414</c:v>
                </c:pt>
                <c:pt idx="19">
                  <c:v>78.98821994467616</c:v>
                </c:pt>
                <c:pt idx="20">
                  <c:v>134.8768817490305</c:v>
                </c:pt>
                <c:pt idx="21">
                  <c:v>163.52793787415143</c:v>
                </c:pt>
                <c:pt idx="22">
                  <c:v>156.72884362000309</c:v>
                </c:pt>
                <c:pt idx="23">
                  <c:v>93.538439282839306</c:v>
                </c:pt>
                <c:pt idx="24">
                  <c:v>93.142382898826952</c:v>
                </c:pt>
                <c:pt idx="25">
                  <c:v>76.123283882255336</c:v>
                </c:pt>
              </c:numCache>
            </c:numRef>
          </c:xVal>
          <c:yVal>
            <c:numRef>
              <c:f>'Tool Ideas'!$Y$66:$Y$91</c:f>
              <c:numCache>
                <c:formatCode>General</c:formatCode>
                <c:ptCount val="26"/>
                <c:pt idx="0">
                  <c:v>3.6736133122028529</c:v>
                </c:pt>
                <c:pt idx="1">
                  <c:v>3.7917204301075276</c:v>
                </c:pt>
                <c:pt idx="2">
                  <c:v>4.384555052790347</c:v>
                </c:pt>
                <c:pt idx="3">
                  <c:v>4.4789660265878872</c:v>
                </c:pt>
                <c:pt idx="4">
                  <c:v>3.6874000000000007</c:v>
                </c:pt>
                <c:pt idx="5">
                  <c:v>3.4951185495118553</c:v>
                </c:pt>
                <c:pt idx="6">
                  <c:v>5.1895367847411444</c:v>
                </c:pt>
                <c:pt idx="7">
                  <c:v>6.8972477064220197</c:v>
                </c:pt>
                <c:pt idx="8">
                  <c:v>6.3273383084577102</c:v>
                </c:pt>
                <c:pt idx="9">
                  <c:v>5.4311965811965814</c:v>
                </c:pt>
                <c:pt idx="10">
                  <c:v>7.8673212121212126</c:v>
                </c:pt>
                <c:pt idx="11">
                  <c:v>9.1153918128654965</c:v>
                </c:pt>
                <c:pt idx="12">
                  <c:v>9.8552168949771701</c:v>
                </c:pt>
                <c:pt idx="13">
                  <c:v>6.2861417322834638</c:v>
                </c:pt>
                <c:pt idx="14">
                  <c:v>5.1002200220022011</c:v>
                </c:pt>
                <c:pt idx="15">
                  <c:v>4.8848056155507571</c:v>
                </c:pt>
                <c:pt idx="16">
                  <c:v>4.5318406889128093</c:v>
                </c:pt>
                <c:pt idx="17">
                  <c:v>4.4931483457844186</c:v>
                </c:pt>
                <c:pt idx="18">
                  <c:v>4.7614000000000001</c:v>
                </c:pt>
                <c:pt idx="19">
                  <c:v>4.6081404958677696</c:v>
                </c:pt>
                <c:pt idx="20">
                  <c:v>5.6760900000000012</c:v>
                </c:pt>
                <c:pt idx="21">
                  <c:v>7.2427745664739902</c:v>
                </c:pt>
                <c:pt idx="22">
                  <c:v>7.2008963093145875</c:v>
                </c:pt>
                <c:pt idx="23">
                  <c:v>4.7430532445923461</c:v>
                </c:pt>
                <c:pt idx="24">
                  <c:v>4.3227990235964207</c:v>
                </c:pt>
                <c:pt idx="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7-D14B-97ED-B8C04BAE7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630144"/>
        <c:axId val="423010624"/>
      </c:scatterChart>
      <c:valAx>
        <c:axId val="4106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10624"/>
        <c:crosses val="autoZero"/>
        <c:crossBetween val="midCat"/>
      </c:valAx>
      <c:valAx>
        <c:axId val="4230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Scoring.Eval!$Q$37</c:f>
              <c:strCache>
                <c:ptCount val="1"/>
                <c:pt idx="0">
                  <c:v>Real MYA 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E13-7F43-9688-B1E8660061BC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E13-7F43-9688-B1E8660061BC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705818022747153E-2"/>
                  <c:y val="-1.3140492855059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Scoring.Eval!$P$38:$P$63</c:f>
              <c:numCache>
                <c:formatCode>General</c:formatCode>
                <c:ptCount val="26"/>
                <c:pt idx="9">
                  <c:v>100</c:v>
                </c:pt>
                <c:pt idx="10">
                  <c:v>183.36815071690887</c:v>
                </c:pt>
                <c:pt idx="11">
                  <c:v>221.0373559773351</c:v>
                </c:pt>
                <c:pt idx="12">
                  <c:v>245.78372315899787</c:v>
                </c:pt>
                <c:pt idx="13">
                  <c:v>142.58768212318768</c:v>
                </c:pt>
                <c:pt idx="14">
                  <c:v>96.410307389444398</c:v>
                </c:pt>
                <c:pt idx="15">
                  <c:v>91.750987243253803</c:v>
                </c:pt>
                <c:pt idx="16">
                  <c:v>73.148152016672029</c:v>
                </c:pt>
                <c:pt idx="17">
                  <c:v>77.080785034069407</c:v>
                </c:pt>
                <c:pt idx="18">
                  <c:v>76.697678715655414</c:v>
                </c:pt>
                <c:pt idx="19">
                  <c:v>78.98821994467616</c:v>
                </c:pt>
                <c:pt idx="20">
                  <c:v>134.8768817490305</c:v>
                </c:pt>
                <c:pt idx="21">
                  <c:v>163.52793787415143</c:v>
                </c:pt>
                <c:pt idx="22">
                  <c:v>156.72884362000309</c:v>
                </c:pt>
                <c:pt idx="23">
                  <c:v>93.538439282839306</c:v>
                </c:pt>
                <c:pt idx="24">
                  <c:v>93.142382898826952</c:v>
                </c:pt>
                <c:pt idx="25">
                  <c:v>76.123283882255336</c:v>
                </c:pt>
              </c:numCache>
            </c:numRef>
          </c:xVal>
          <c:yVal>
            <c:numRef>
              <c:f>Scoring.Eval!$Q$38:$Q$63</c:f>
              <c:numCache>
                <c:formatCode>General</c:formatCode>
                <c:ptCount val="26"/>
                <c:pt idx="9">
                  <c:v>5.4311965811965814</c:v>
                </c:pt>
                <c:pt idx="10">
                  <c:v>7.8673212121212126</c:v>
                </c:pt>
                <c:pt idx="11">
                  <c:v>9.1153918128654965</c:v>
                </c:pt>
                <c:pt idx="12">
                  <c:v>9.8552168949771701</c:v>
                </c:pt>
                <c:pt idx="13">
                  <c:v>6.2861417322834638</c:v>
                </c:pt>
                <c:pt idx="14">
                  <c:v>5.1002200220022011</c:v>
                </c:pt>
                <c:pt idx="15">
                  <c:v>4.8848056155507571</c:v>
                </c:pt>
                <c:pt idx="16">
                  <c:v>4.5318406889128093</c:v>
                </c:pt>
                <c:pt idx="17">
                  <c:v>4.4931483457844186</c:v>
                </c:pt>
                <c:pt idx="18">
                  <c:v>4.7614000000000001</c:v>
                </c:pt>
                <c:pt idx="19">
                  <c:v>4.6081404958677696</c:v>
                </c:pt>
                <c:pt idx="20">
                  <c:v>5.6760900000000012</c:v>
                </c:pt>
                <c:pt idx="21">
                  <c:v>7.2427745664739902</c:v>
                </c:pt>
                <c:pt idx="22">
                  <c:v>7.2008963093145875</c:v>
                </c:pt>
                <c:pt idx="23">
                  <c:v>4.7430532445923461</c:v>
                </c:pt>
                <c:pt idx="24">
                  <c:v>4.3227990235964207</c:v>
                </c:pt>
                <c:pt idx="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13-7F43-9688-B1E866006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21311"/>
        <c:axId val="1258822655"/>
      </c:scatterChart>
      <c:valAx>
        <c:axId val="1258821311"/>
        <c:scaling>
          <c:orientation val="minMax"/>
          <c:max val="2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2655"/>
        <c:crosses val="autoZero"/>
        <c:crossBetween val="midCat"/>
      </c:valAx>
      <c:valAx>
        <c:axId val="12588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Scoring.Eval!$Q$37</c:f>
              <c:strCache>
                <c:ptCount val="1"/>
                <c:pt idx="0">
                  <c:v>Real MYA 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C09-AE4E-8EC5-F4D77F12CF71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C09-AE4E-8EC5-F4D77F12CF7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705818022747153E-2"/>
                  <c:y val="-1.3140492855059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Scoring.Eval!$P$38:$P$63</c:f>
              <c:numCache>
                <c:formatCode>General</c:formatCode>
                <c:ptCount val="26"/>
                <c:pt idx="9">
                  <c:v>100</c:v>
                </c:pt>
                <c:pt idx="10">
                  <c:v>183.36815071690887</c:v>
                </c:pt>
                <c:pt idx="11">
                  <c:v>221.0373559773351</c:v>
                </c:pt>
                <c:pt idx="12">
                  <c:v>245.78372315899787</c:v>
                </c:pt>
                <c:pt idx="13">
                  <c:v>142.58768212318768</c:v>
                </c:pt>
                <c:pt idx="14">
                  <c:v>96.410307389444398</c:v>
                </c:pt>
                <c:pt idx="15">
                  <c:v>91.750987243253803</c:v>
                </c:pt>
                <c:pt idx="16">
                  <c:v>73.148152016672029</c:v>
                </c:pt>
                <c:pt idx="17">
                  <c:v>77.080785034069407</c:v>
                </c:pt>
                <c:pt idx="18">
                  <c:v>76.697678715655414</c:v>
                </c:pt>
                <c:pt idx="19">
                  <c:v>78.98821994467616</c:v>
                </c:pt>
                <c:pt idx="20">
                  <c:v>134.8768817490305</c:v>
                </c:pt>
                <c:pt idx="21">
                  <c:v>163.52793787415143</c:v>
                </c:pt>
                <c:pt idx="22">
                  <c:v>156.72884362000309</c:v>
                </c:pt>
                <c:pt idx="23">
                  <c:v>93.538439282839306</c:v>
                </c:pt>
                <c:pt idx="24">
                  <c:v>93.142382898826952</c:v>
                </c:pt>
                <c:pt idx="25">
                  <c:v>76.123283882255336</c:v>
                </c:pt>
              </c:numCache>
            </c:numRef>
          </c:xVal>
          <c:yVal>
            <c:numRef>
              <c:f>Scoring.Eval!$Q$38:$Q$63</c:f>
              <c:numCache>
                <c:formatCode>General</c:formatCode>
                <c:ptCount val="26"/>
                <c:pt idx="9">
                  <c:v>5.4311965811965814</c:v>
                </c:pt>
                <c:pt idx="10">
                  <c:v>7.8673212121212126</c:v>
                </c:pt>
                <c:pt idx="11">
                  <c:v>9.1153918128654965</c:v>
                </c:pt>
                <c:pt idx="12">
                  <c:v>9.8552168949771701</c:v>
                </c:pt>
                <c:pt idx="13">
                  <c:v>6.2861417322834638</c:v>
                </c:pt>
                <c:pt idx="14">
                  <c:v>5.1002200220022011</c:v>
                </c:pt>
                <c:pt idx="15">
                  <c:v>4.8848056155507571</c:v>
                </c:pt>
                <c:pt idx="16">
                  <c:v>4.5318406889128093</c:v>
                </c:pt>
                <c:pt idx="17">
                  <c:v>4.4931483457844186</c:v>
                </c:pt>
                <c:pt idx="18">
                  <c:v>4.7614000000000001</c:v>
                </c:pt>
                <c:pt idx="19">
                  <c:v>4.6081404958677696</c:v>
                </c:pt>
                <c:pt idx="20">
                  <c:v>5.6760900000000012</c:v>
                </c:pt>
                <c:pt idx="21">
                  <c:v>7.2427745664739902</c:v>
                </c:pt>
                <c:pt idx="22">
                  <c:v>7.2008963093145875</c:v>
                </c:pt>
                <c:pt idx="23">
                  <c:v>4.7430532445923461</c:v>
                </c:pt>
                <c:pt idx="24">
                  <c:v>4.3227990235964207</c:v>
                </c:pt>
                <c:pt idx="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09-AE4E-8EC5-F4D77F12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21311"/>
        <c:axId val="1258822655"/>
      </c:scatterChart>
      <c:valAx>
        <c:axId val="1258821311"/>
        <c:scaling>
          <c:orientation val="minMax"/>
          <c:max val="2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2655"/>
        <c:crosses val="autoZero"/>
        <c:crossBetween val="midCat"/>
      </c:valAx>
      <c:valAx>
        <c:axId val="12588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Scoring.Eval!$Q$37</c:f>
              <c:strCache>
                <c:ptCount val="1"/>
                <c:pt idx="0">
                  <c:v>Real MYA 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670-9448-B5A0-CACF43E7E961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670-9448-B5A0-CACF43E7E96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Scoring.Eval!$P$38:$P$63</c:f>
              <c:numCache>
                <c:formatCode>General</c:formatCode>
                <c:ptCount val="26"/>
                <c:pt idx="9">
                  <c:v>100</c:v>
                </c:pt>
                <c:pt idx="10">
                  <c:v>183.36815071690887</c:v>
                </c:pt>
                <c:pt idx="11">
                  <c:v>221.0373559773351</c:v>
                </c:pt>
                <c:pt idx="12">
                  <c:v>245.78372315899787</c:v>
                </c:pt>
                <c:pt idx="13">
                  <c:v>142.58768212318768</c:v>
                </c:pt>
                <c:pt idx="14">
                  <c:v>96.410307389444398</c:v>
                </c:pt>
                <c:pt idx="15">
                  <c:v>91.750987243253803</c:v>
                </c:pt>
                <c:pt idx="16">
                  <c:v>73.148152016672029</c:v>
                </c:pt>
                <c:pt idx="17">
                  <c:v>77.080785034069407</c:v>
                </c:pt>
                <c:pt idx="18">
                  <c:v>76.697678715655414</c:v>
                </c:pt>
                <c:pt idx="19">
                  <c:v>78.98821994467616</c:v>
                </c:pt>
                <c:pt idx="20">
                  <c:v>134.8768817490305</c:v>
                </c:pt>
                <c:pt idx="21">
                  <c:v>163.52793787415143</c:v>
                </c:pt>
                <c:pt idx="22">
                  <c:v>156.72884362000309</c:v>
                </c:pt>
                <c:pt idx="23">
                  <c:v>93.538439282839306</c:v>
                </c:pt>
                <c:pt idx="24">
                  <c:v>93.142382898826952</c:v>
                </c:pt>
                <c:pt idx="25">
                  <c:v>76.123283882255336</c:v>
                </c:pt>
              </c:numCache>
            </c:numRef>
          </c:xVal>
          <c:yVal>
            <c:numRef>
              <c:f>Scoring.Eval!$Q$38:$Q$63</c:f>
              <c:numCache>
                <c:formatCode>General</c:formatCode>
                <c:ptCount val="26"/>
                <c:pt idx="9">
                  <c:v>5.4311965811965814</c:v>
                </c:pt>
                <c:pt idx="10">
                  <c:v>7.8673212121212126</c:v>
                </c:pt>
                <c:pt idx="11">
                  <c:v>9.1153918128654965</c:v>
                </c:pt>
                <c:pt idx="12">
                  <c:v>9.8552168949771701</c:v>
                </c:pt>
                <c:pt idx="13">
                  <c:v>6.2861417322834638</c:v>
                </c:pt>
                <c:pt idx="14">
                  <c:v>5.1002200220022011</c:v>
                </c:pt>
                <c:pt idx="15">
                  <c:v>4.8848056155507571</c:v>
                </c:pt>
                <c:pt idx="16">
                  <c:v>4.5318406889128093</c:v>
                </c:pt>
                <c:pt idx="17">
                  <c:v>4.4931483457844186</c:v>
                </c:pt>
                <c:pt idx="18">
                  <c:v>4.7614000000000001</c:v>
                </c:pt>
                <c:pt idx="19">
                  <c:v>4.6081404958677696</c:v>
                </c:pt>
                <c:pt idx="20">
                  <c:v>5.6760900000000012</c:v>
                </c:pt>
                <c:pt idx="21">
                  <c:v>7.2427745664739902</c:v>
                </c:pt>
                <c:pt idx="22">
                  <c:v>7.2008963093145875</c:v>
                </c:pt>
                <c:pt idx="23">
                  <c:v>4.7430532445923461</c:v>
                </c:pt>
                <c:pt idx="24">
                  <c:v>4.3227990235964207</c:v>
                </c:pt>
                <c:pt idx="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70-9448-B5A0-CACF43E7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21311"/>
        <c:axId val="1258822655"/>
      </c:scatterChart>
      <c:valAx>
        <c:axId val="1258821311"/>
        <c:scaling>
          <c:orientation val="minMax"/>
          <c:max val="2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2655"/>
        <c:crosses val="autoZero"/>
        <c:crossBetween val="midCat"/>
      </c:valAx>
      <c:valAx>
        <c:axId val="12588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2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541054243219599"/>
                  <c:y val="0.11388232720909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Scoring.Eval!$Z$38:$Z$63</c:f>
              <c:numCache>
                <c:formatCode>General</c:formatCode>
                <c:ptCount val="26"/>
                <c:pt idx="9">
                  <c:v>0.13095572319981164</c:v>
                </c:pt>
                <c:pt idx="10">
                  <c:v>8.6522864642644623E-2</c:v>
                </c:pt>
                <c:pt idx="11">
                  <c:v>7.9234964060090146E-2</c:v>
                </c:pt>
                <c:pt idx="12">
                  <c:v>7.4094729289068545E-2</c:v>
                </c:pt>
                <c:pt idx="13">
                  <c:v>9.1552757232468876E-2</c:v>
                </c:pt>
                <c:pt idx="14">
                  <c:v>0.12590692267607329</c:v>
                </c:pt>
                <c:pt idx="15">
                  <c:v>0.1271288749052793</c:v>
                </c:pt>
                <c:pt idx="16">
                  <c:v>0.15655284360571678</c:v>
                </c:pt>
                <c:pt idx="17">
                  <c:v>0.14463270523574276</c:v>
                </c:pt>
                <c:pt idx="18">
                  <c:v>0.15695183694664416</c:v>
                </c:pt>
                <c:pt idx="19">
                  <c:v>0.14479345894063278</c:v>
                </c:pt>
                <c:pt idx="20">
                  <c:v>8.2959866663139231E-2</c:v>
                </c:pt>
                <c:pt idx="21">
                  <c:v>9.2412284294271368E-2</c:v>
                </c:pt>
                <c:pt idx="22">
                  <c:v>9.9243131453848249E-2</c:v>
                </c:pt>
                <c:pt idx="23">
                  <c:v>0.11782779338573397</c:v>
                </c:pt>
                <c:pt idx="24">
                  <c:v>0.101129436841216</c:v>
                </c:pt>
                <c:pt idx="25">
                  <c:v>0.12461943602777059</c:v>
                </c:pt>
              </c:numCache>
            </c:numRef>
          </c:xVal>
          <c:yVal>
            <c:numRef>
              <c:f>Scoring.Eval!$AA$38:$AA$63</c:f>
              <c:numCache>
                <c:formatCode>General</c:formatCode>
                <c:ptCount val="26"/>
                <c:pt idx="9">
                  <c:v>5.4311965811965814</c:v>
                </c:pt>
                <c:pt idx="10">
                  <c:v>7.8673212121212126</c:v>
                </c:pt>
                <c:pt idx="11">
                  <c:v>9.1153918128654965</c:v>
                </c:pt>
                <c:pt idx="12">
                  <c:v>9.8552168949771701</c:v>
                </c:pt>
                <c:pt idx="13">
                  <c:v>6.2861417322834638</c:v>
                </c:pt>
                <c:pt idx="14">
                  <c:v>5.1002200220022011</c:v>
                </c:pt>
                <c:pt idx="15">
                  <c:v>4.8848056155507571</c:v>
                </c:pt>
                <c:pt idx="16">
                  <c:v>4.5318406889128093</c:v>
                </c:pt>
                <c:pt idx="17">
                  <c:v>4.4931483457844186</c:v>
                </c:pt>
                <c:pt idx="18">
                  <c:v>4.7614000000000001</c:v>
                </c:pt>
                <c:pt idx="19">
                  <c:v>4.6081404958677696</c:v>
                </c:pt>
                <c:pt idx="20">
                  <c:v>5.6760900000000012</c:v>
                </c:pt>
                <c:pt idx="21">
                  <c:v>7.2427745664739902</c:v>
                </c:pt>
                <c:pt idx="22">
                  <c:v>7.2008963093145875</c:v>
                </c:pt>
                <c:pt idx="23">
                  <c:v>4.7430532445923461</c:v>
                </c:pt>
                <c:pt idx="24">
                  <c:v>4.3227990235964207</c:v>
                </c:pt>
                <c:pt idx="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D-A046-8282-ABCB9B1C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10752"/>
        <c:axId val="406004032"/>
      </c:scatterChart>
      <c:valAx>
        <c:axId val="4060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04032"/>
        <c:crosses val="autoZero"/>
        <c:crossBetween val="midCat"/>
      </c:valAx>
      <c:valAx>
        <c:axId val="4060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1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Scoring.Eval!$M$73:$M$89</c:f>
              <c:numCache>
                <c:formatCode>General</c:formatCode>
                <c:ptCount val="17"/>
                <c:pt idx="0">
                  <c:v>100.0825</c:v>
                </c:pt>
                <c:pt idx="1">
                  <c:v>101.06099999999999</c:v>
                </c:pt>
                <c:pt idx="2">
                  <c:v>102.0395</c:v>
                </c:pt>
                <c:pt idx="3">
                  <c:v>103.018</c:v>
                </c:pt>
                <c:pt idx="4">
                  <c:v>103.9965</c:v>
                </c:pt>
                <c:pt idx="5">
                  <c:v>104.97499999999999</c:v>
                </c:pt>
                <c:pt idx="6">
                  <c:v>105.95350000000001</c:v>
                </c:pt>
                <c:pt idx="7">
                  <c:v>106.932</c:v>
                </c:pt>
                <c:pt idx="8">
                  <c:v>107.9105</c:v>
                </c:pt>
                <c:pt idx="9">
                  <c:v>108.889</c:v>
                </c:pt>
                <c:pt idx="10">
                  <c:v>109.86750000000001</c:v>
                </c:pt>
                <c:pt idx="11">
                  <c:v>110.846</c:v>
                </c:pt>
                <c:pt idx="12">
                  <c:v>111.8245</c:v>
                </c:pt>
                <c:pt idx="13">
                  <c:v>112.803</c:v>
                </c:pt>
                <c:pt idx="14">
                  <c:v>113.78149999999999</c:v>
                </c:pt>
                <c:pt idx="15">
                  <c:v>114.76</c:v>
                </c:pt>
                <c:pt idx="16">
                  <c:v>115.7385</c:v>
                </c:pt>
              </c:numCache>
            </c:numRef>
          </c:xVal>
          <c:yVal>
            <c:numRef>
              <c:f>Scoring.Eval!$Q$73:$Q$89</c:f>
              <c:numCache>
                <c:formatCode>General</c:formatCode>
                <c:ptCount val="17"/>
                <c:pt idx="0">
                  <c:v>5.4311965811965814</c:v>
                </c:pt>
                <c:pt idx="1">
                  <c:v>7.8673212121212126</c:v>
                </c:pt>
                <c:pt idx="2">
                  <c:v>9.1153918128654965</c:v>
                </c:pt>
                <c:pt idx="3">
                  <c:v>9.8552168949771701</c:v>
                </c:pt>
                <c:pt idx="4">
                  <c:v>6.2861417322834638</c:v>
                </c:pt>
                <c:pt idx="5">
                  <c:v>5.1002200220022011</c:v>
                </c:pt>
                <c:pt idx="6">
                  <c:v>4.8848056155507571</c:v>
                </c:pt>
                <c:pt idx="7">
                  <c:v>4.5318406889128093</c:v>
                </c:pt>
                <c:pt idx="8">
                  <c:v>4.4931483457844186</c:v>
                </c:pt>
                <c:pt idx="9">
                  <c:v>4.7614000000000001</c:v>
                </c:pt>
                <c:pt idx="10">
                  <c:v>4.6081404958677696</c:v>
                </c:pt>
                <c:pt idx="11">
                  <c:v>5.6760900000000012</c:v>
                </c:pt>
                <c:pt idx="12">
                  <c:v>7.2427745664739902</c:v>
                </c:pt>
                <c:pt idx="13">
                  <c:v>7.2008963093145875</c:v>
                </c:pt>
                <c:pt idx="14">
                  <c:v>4.7430532445923461</c:v>
                </c:pt>
                <c:pt idx="15">
                  <c:v>4.3227990235964207</c:v>
                </c:pt>
                <c:pt idx="1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9-2C48-AC06-593AB14D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725120"/>
        <c:axId val="507694592"/>
      </c:scatterChart>
      <c:valAx>
        <c:axId val="5077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94592"/>
        <c:crosses val="autoZero"/>
        <c:crossBetween val="midCat"/>
      </c:valAx>
      <c:valAx>
        <c:axId val="5076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2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245514</xdr:colOff>
      <xdr:row>33</xdr:row>
      <xdr:rowOff>69245</xdr:rowOff>
    </xdr:from>
    <xdr:to>
      <xdr:col>5</xdr:col>
      <xdr:colOff>808223</xdr:colOff>
      <xdr:row>46</xdr:row>
      <xdr:rowOff>172001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769B84-0DB3-FD4C-AC69-F22EDADC1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35</xdr:row>
      <xdr:rowOff>62730</xdr:rowOff>
    </xdr:from>
    <xdr:to>
      <xdr:col>6</xdr:col>
      <xdr:colOff>185557</xdr:colOff>
      <xdr:row>48</xdr:row>
      <xdr:rowOff>164331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014250-7EAD-F54D-96F4-635853460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514177</xdr:colOff>
      <xdr:row>60</xdr:row>
      <xdr:rowOff>144521</xdr:rowOff>
    </xdr:from>
    <xdr:to>
      <xdr:col>13</xdr:col>
      <xdr:colOff>817643</xdr:colOff>
      <xdr:row>74</xdr:row>
      <xdr:rowOff>59085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A71594-7C45-BBAD-B6D5-C217DDB7B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541867</xdr:colOff>
      <xdr:row>85</xdr:row>
      <xdr:rowOff>186266</xdr:rowOff>
    </xdr:from>
    <xdr:to>
      <xdr:col>13</xdr:col>
      <xdr:colOff>827039</xdr:colOff>
      <xdr:row>99</xdr:row>
      <xdr:rowOff>99675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CDDCDC-3C62-EC4E-9DC9-99787CC6E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721590</xdr:colOff>
      <xdr:row>8</xdr:row>
      <xdr:rowOff>129886</xdr:rowOff>
    </xdr:from>
    <xdr:to>
      <xdr:col>38</xdr:col>
      <xdr:colOff>429660</xdr:colOff>
      <xdr:row>21</xdr:row>
      <xdr:rowOff>13304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A9EA60-3007-6E41-9125-82283ED1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41</xdr:row>
      <xdr:rowOff>196850</xdr:rowOff>
    </xdr:from>
    <xdr:to>
      <xdr:col>12</xdr:col>
      <xdr:colOff>69850</xdr:colOff>
      <xdr:row>55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A3863-0AC8-E84B-B4CA-88E236AA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160866</xdr:colOff>
      <xdr:row>193</xdr:row>
      <xdr:rowOff>180027</xdr:rowOff>
    </xdr:from>
    <xdr:to>
      <xdr:col>18</xdr:col>
      <xdr:colOff>211666</xdr:colOff>
      <xdr:row>207</xdr:row>
      <xdr:rowOff>78427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448677-D4D9-E5E6-1ED6-1C3A9CB99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162706</xdr:colOff>
      <xdr:row>73</xdr:row>
      <xdr:rowOff>164180</xdr:rowOff>
    </xdr:from>
    <xdr:to>
      <xdr:col>32</xdr:col>
      <xdr:colOff>584567</xdr:colOff>
      <xdr:row>87</xdr:row>
      <xdr:rowOff>62580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E279CD-B41C-C93B-40AF-93C06B4BD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338666</xdr:colOff>
      <xdr:row>0</xdr:row>
      <xdr:rowOff>56445</xdr:rowOff>
    </xdr:from>
    <xdr:to>
      <xdr:col>18</xdr:col>
      <xdr:colOff>504536</xdr:colOff>
      <xdr:row>14</xdr:row>
      <xdr:rowOff>7256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80291F5-BA32-4143-90A2-00218B358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246303</xdr:colOff>
      <xdr:row>35</xdr:row>
      <xdr:rowOff>56188</xdr:rowOff>
    </xdr:from>
    <xdr:to>
      <xdr:col>13</xdr:col>
      <xdr:colOff>666172</xdr:colOff>
      <xdr:row>48</xdr:row>
      <xdr:rowOff>166254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0BB20-1643-2D4E-8B51-3700D174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115454</xdr:colOff>
      <xdr:row>50</xdr:row>
      <xdr:rowOff>192424</xdr:rowOff>
    </xdr:from>
    <xdr:to>
      <xdr:col>13</xdr:col>
      <xdr:colOff>535323</xdr:colOff>
      <xdr:row>64</xdr:row>
      <xdr:rowOff>90823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711625-F42D-A74B-9D0A-C17DB3704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417562</xdr:colOff>
      <xdr:row>38</xdr:row>
      <xdr:rowOff>187037</xdr:rowOff>
    </xdr:from>
    <xdr:to>
      <xdr:col>36</xdr:col>
      <xdr:colOff>756228</xdr:colOff>
      <xdr:row>51</xdr:row>
      <xdr:rowOff>178570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050F82-D774-F7BD-6D31-3F64530EF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532510</xdr:colOff>
      <xdr:row>72</xdr:row>
      <xdr:rowOff>143488</xdr:rowOff>
    </xdr:from>
    <xdr:to>
      <xdr:col>11</xdr:col>
      <xdr:colOff>24510</xdr:colOff>
      <xdr:row>86</xdr:row>
      <xdr:rowOff>79320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8409B5-1020-F159-4A36-433BD24B2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468D-1847-9748-BBEC-DAFA8C126239}">
  <dimension ref="A1:BY216"/>
  <sheetViews>
    <sheetView tabSelected="1" topLeftCell="M1" zoomScale="75" zoomScaleNormal="120" workbookViewId="0">
      <selection activeCell="X2" sqref="X2:X27"/>
    </sheetView>
  </sheetViews>
  <sheetFormatPr defaultColWidth="11.19921875" defaultRowHeight="15.6" x14ac:dyDescent="0.3"/>
  <cols>
    <col min="4" max="4" width="11" bestFit="1" customWidth="1"/>
    <col min="5" max="5" width="11.19921875" bestFit="1" customWidth="1"/>
    <col min="6" max="12" width="11" bestFit="1" customWidth="1"/>
    <col min="13" max="13" width="12.296875" bestFit="1" customWidth="1"/>
    <col min="15" max="16" width="11" bestFit="1" customWidth="1"/>
    <col min="17" max="17" width="12.296875" bestFit="1" customWidth="1"/>
    <col min="18" max="18" width="13.69921875" bestFit="1" customWidth="1"/>
    <col min="19" max="20" width="11" bestFit="1" customWidth="1"/>
    <col min="22" max="22" width="11" bestFit="1" customWidth="1"/>
    <col min="23" max="23" width="12.296875" bestFit="1" customWidth="1"/>
  </cols>
  <sheetData>
    <row r="1" spans="1:35" x14ac:dyDescent="0.3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t="s">
        <v>13</v>
      </c>
      <c r="O1" s="95">
        <v>-0.16565854320000001</v>
      </c>
      <c r="Q1" t="s">
        <v>14</v>
      </c>
      <c r="R1" t="s">
        <v>15</v>
      </c>
      <c r="S1" s="4" t="s">
        <v>16</v>
      </c>
      <c r="T1" t="s">
        <v>17</v>
      </c>
      <c r="V1" t="s">
        <v>18</v>
      </c>
      <c r="X1" s="4" t="s">
        <v>19</v>
      </c>
      <c r="AD1" t="s">
        <v>29</v>
      </c>
    </row>
    <row r="2" spans="1:35" x14ac:dyDescent="0.3">
      <c r="A2">
        <v>2000</v>
      </c>
      <c r="B2" s="1">
        <v>110.65268707275391</v>
      </c>
      <c r="C2" s="2">
        <v>48240</v>
      </c>
      <c r="D2" s="2">
        <v>175136</v>
      </c>
      <c r="E2" s="1">
        <v>6161884811</v>
      </c>
      <c r="F2" s="1">
        <v>282398</v>
      </c>
      <c r="G2" s="1">
        <v>10250.951999999999</v>
      </c>
      <c r="H2" s="1">
        <v>73.822000000000003</v>
      </c>
      <c r="I2" s="3">
        <v>2803.7647721999997</v>
      </c>
      <c r="J2">
        <v>9.0152456418383533</v>
      </c>
      <c r="K2" s="3">
        <v>3051.5275412999999</v>
      </c>
      <c r="L2" s="4">
        <f t="shared" ref="L2:L27" si="0">(K2/$K$11)*100</f>
        <v>86.845902873635339</v>
      </c>
      <c r="M2" s="4">
        <f t="shared" ref="M2:M10" si="1">100-(L2-100)</f>
        <v>113.15409712636466</v>
      </c>
      <c r="N2" t="s">
        <v>20</v>
      </c>
      <c r="O2">
        <f>1/O1</f>
        <v>-6.0365133043135435</v>
      </c>
      <c r="P2">
        <v>2000</v>
      </c>
      <c r="Q2">
        <f t="shared" ref="Q2:Q10" si="2">J2^$O$1</f>
        <v>0.69470401339734489</v>
      </c>
      <c r="R2">
        <f t="shared" ref="R2:R10" si="3">I2/Q2</f>
        <v>4035.9127313639838</v>
      </c>
      <c r="S2" s="4">
        <f t="shared" ref="S2:S10" si="4">(R2/$R$11)*100</f>
        <v>76.912166318091906</v>
      </c>
      <c r="T2" s="5"/>
      <c r="V2">
        <f>K2/R2</f>
        <v>0.75609353928440881</v>
      </c>
      <c r="W2">
        <f t="shared" ref="W2:W27" si="5">V2^$O$2</f>
        <v>5.407299763935228</v>
      </c>
      <c r="X2" s="4">
        <f t="shared" ref="X2:X27" si="6">(W2/$W$11)*100</f>
        <v>48.033919140085231</v>
      </c>
      <c r="AB2">
        <f>K2-I2</f>
        <v>247.76276910000024</v>
      </c>
      <c r="AC2">
        <f>(I2/K2)*100</f>
        <v>91.880696937952294</v>
      </c>
      <c r="AD2">
        <f>(AC2/$AC$28)*100</f>
        <v>99.148416480904814</v>
      </c>
      <c r="AE2">
        <v>100</v>
      </c>
    </row>
    <row r="3" spans="1:35" x14ac:dyDescent="0.3">
      <c r="A3">
        <v>2001</v>
      </c>
      <c r="B3" s="1">
        <v>117.24627685546875</v>
      </c>
      <c r="C3" s="2">
        <v>40551</v>
      </c>
      <c r="D3" s="2">
        <v>151409</v>
      </c>
      <c r="E3" s="1">
        <v>6245112906</v>
      </c>
      <c r="F3" s="1">
        <v>285225</v>
      </c>
      <c r="G3" s="1">
        <v>10581.929</v>
      </c>
      <c r="H3" s="1">
        <v>75.302000000000007</v>
      </c>
      <c r="I3" s="3">
        <v>2932.6984154999996</v>
      </c>
      <c r="J3">
        <v>8.4303225806451625</v>
      </c>
      <c r="K3" s="3">
        <v>3140.7779885999998</v>
      </c>
      <c r="L3" s="4">
        <f t="shared" si="0"/>
        <v>89.3859539047141</v>
      </c>
      <c r="M3" s="4">
        <f t="shared" si="1"/>
        <v>110.6140460952859</v>
      </c>
      <c r="P3">
        <v>2001</v>
      </c>
      <c r="Q3">
        <f t="shared" si="2"/>
        <v>0.70246711758024583</v>
      </c>
      <c r="R3">
        <f t="shared" si="3"/>
        <v>4174.855081618799</v>
      </c>
      <c r="S3" s="4">
        <f t="shared" si="4"/>
        <v>79.559983023438093</v>
      </c>
      <c r="T3" s="5"/>
      <c r="V3">
        <f t="shared" ref="V3:V10" si="7">K3/R3</f>
        <v>0.75230826632242387</v>
      </c>
      <c r="W3">
        <f t="shared" si="5"/>
        <v>5.5736307484323344</v>
      </c>
      <c r="X3" s="4">
        <f t="shared" si="6"/>
        <v>49.511464201136242</v>
      </c>
      <c r="AB3">
        <f t="shared" ref="AB3:AB27" si="8">K3-I3</f>
        <v>208.07957310000029</v>
      </c>
      <c r="AC3">
        <f t="shared" ref="AC3:AC26" si="9">(I3/K3)*100</f>
        <v>93.374903483937373</v>
      </c>
      <c r="AD3">
        <f>(AC3/$AC$28)*100</f>
        <v>100.76081405588042</v>
      </c>
      <c r="AE3">
        <v>100</v>
      </c>
    </row>
    <row r="4" spans="1:35" x14ac:dyDescent="0.3">
      <c r="A4">
        <v>2002</v>
      </c>
      <c r="B4" s="1">
        <v>103.79281616210938</v>
      </c>
      <c r="C4" s="2">
        <v>27603</v>
      </c>
      <c r="D4" s="2">
        <v>126942</v>
      </c>
      <c r="E4" s="1">
        <v>6327557399</v>
      </c>
      <c r="F4" s="1">
        <v>287955</v>
      </c>
      <c r="G4" s="1">
        <v>10929.108</v>
      </c>
      <c r="H4" s="1">
        <v>76.290999999999997</v>
      </c>
      <c r="I4" s="3">
        <v>2790.5737838999994</v>
      </c>
      <c r="J4">
        <v>10.451116138763199</v>
      </c>
      <c r="K4" s="3">
        <v>2968.8909599999997</v>
      </c>
      <c r="L4" s="4">
        <f t="shared" si="0"/>
        <v>84.494081231438486</v>
      </c>
      <c r="M4" s="4">
        <f t="shared" si="1"/>
        <v>115.50591876856151</v>
      </c>
      <c r="O4" s="95">
        <v>-0.16565854320000001</v>
      </c>
      <c r="P4">
        <v>2002</v>
      </c>
      <c r="Q4">
        <f t="shared" si="2"/>
        <v>0.67790212636906022</v>
      </c>
      <c r="R4">
        <f t="shared" si="3"/>
        <v>4116.48477759866</v>
      </c>
      <c r="S4" s="4">
        <f t="shared" si="4"/>
        <v>78.447623359180128</v>
      </c>
      <c r="T4" s="5"/>
      <c r="V4">
        <f t="shared" si="7"/>
        <v>0.72121995352838253</v>
      </c>
      <c r="W4">
        <f t="shared" si="5"/>
        <v>7.1907802124060494</v>
      </c>
      <c r="X4" s="4">
        <f t="shared" si="6"/>
        <v>63.876864674775689</v>
      </c>
      <c r="AB4">
        <f t="shared" si="8"/>
        <v>178.31717610000032</v>
      </c>
      <c r="AC4">
        <f t="shared" si="9"/>
        <v>93.993811881188108</v>
      </c>
      <c r="AD4">
        <f t="shared" ref="AD4:AD26" si="10">(AC4/$AC$28)*100</f>
        <v>101.42867781376619</v>
      </c>
      <c r="AE4">
        <v>100</v>
      </c>
    </row>
    <row r="5" spans="1:35" x14ac:dyDescent="0.3">
      <c r="A5">
        <v>2003</v>
      </c>
      <c r="B5" s="1">
        <v>96.601188659667969</v>
      </c>
      <c r="C5" s="2">
        <v>24337</v>
      </c>
      <c r="D5" s="2">
        <v>104701</v>
      </c>
      <c r="E5" s="1">
        <v>6409750441</v>
      </c>
      <c r="F5" s="1">
        <v>290626</v>
      </c>
      <c r="G5" s="1">
        <v>11456.45</v>
      </c>
      <c r="H5" s="1">
        <v>77.894000000000005</v>
      </c>
      <c r="I5" s="3">
        <v>2525.3210135999998</v>
      </c>
      <c r="J5">
        <v>13.584963072378139</v>
      </c>
      <c r="K5" s="3">
        <v>2637.7199918999995</v>
      </c>
      <c r="L5" s="4">
        <f t="shared" si="0"/>
        <v>75.069017442590024</v>
      </c>
      <c r="M5" s="4">
        <f t="shared" si="1"/>
        <v>124.93098255740998</v>
      </c>
      <c r="O5">
        <v>-0.16565854320000001</v>
      </c>
      <c r="P5">
        <v>2003</v>
      </c>
      <c r="Q5">
        <f t="shared" si="2"/>
        <v>0.64908143223680093</v>
      </c>
      <c r="R5">
        <f t="shared" si="3"/>
        <v>3890.6073848045316</v>
      </c>
      <c r="S5" s="4">
        <f t="shared" si="4"/>
        <v>74.143090343123646</v>
      </c>
      <c r="T5" s="5"/>
      <c r="V5">
        <f t="shared" si="7"/>
        <v>0.67797126027213395</v>
      </c>
      <c r="W5">
        <f t="shared" si="5"/>
        <v>10.444684567199767</v>
      </c>
      <c r="X5" s="4">
        <f t="shared" si="6"/>
        <v>92.78182380246885</v>
      </c>
      <c r="AB5">
        <f t="shared" si="8"/>
        <v>112.39897829999973</v>
      </c>
      <c r="AC5">
        <f t="shared" si="9"/>
        <v>95.738782787969981</v>
      </c>
      <c r="AD5">
        <f t="shared" si="10"/>
        <v>103.31167509152419</v>
      </c>
      <c r="AE5">
        <v>100</v>
      </c>
    </row>
    <row r="6" spans="1:35" x14ac:dyDescent="0.3">
      <c r="A6">
        <v>2004</v>
      </c>
      <c r="B6" s="1">
        <v>92.980888366699219</v>
      </c>
      <c r="C6" s="2">
        <v>53697</v>
      </c>
      <c r="D6" s="2">
        <v>131156</v>
      </c>
      <c r="E6" s="1">
        <v>6492769815</v>
      </c>
      <c r="F6" s="1">
        <v>293262</v>
      </c>
      <c r="G6" s="1">
        <v>12217.196</v>
      </c>
      <c r="H6" s="1">
        <v>79.826999999999998</v>
      </c>
      <c r="I6" s="3">
        <v>2986.0502678999997</v>
      </c>
      <c r="J6">
        <v>10.274600000000001</v>
      </c>
      <c r="K6" s="3">
        <v>3241.7864198999996</v>
      </c>
      <c r="L6" s="4">
        <f t="shared" si="0"/>
        <v>92.260634960471819</v>
      </c>
      <c r="M6" s="4">
        <f t="shared" si="1"/>
        <v>107.73936503952818</v>
      </c>
      <c r="P6">
        <v>2004</v>
      </c>
      <c r="Q6">
        <f t="shared" si="2"/>
        <v>0.67981774520199256</v>
      </c>
      <c r="R6">
        <f t="shared" si="3"/>
        <v>4392.4276601705387</v>
      </c>
      <c r="S6" s="4">
        <f t="shared" si="4"/>
        <v>83.706251652535073</v>
      </c>
      <c r="T6" s="5"/>
      <c r="V6">
        <f t="shared" si="7"/>
        <v>0.73803979728470592</v>
      </c>
      <c r="W6">
        <f t="shared" si="5"/>
        <v>6.2565966490313771</v>
      </c>
      <c r="X6" s="4">
        <f t="shared" si="6"/>
        <v>55.578360855102261</v>
      </c>
      <c r="AB6">
        <f t="shared" si="8"/>
        <v>255.73615199999995</v>
      </c>
      <c r="AC6">
        <f t="shared" si="9"/>
        <v>92.111258458295069</v>
      </c>
      <c r="AD6">
        <f t="shared" si="10"/>
        <v>99.397215308136751</v>
      </c>
      <c r="AE6">
        <v>100</v>
      </c>
    </row>
    <row r="7" spans="1:35" x14ac:dyDescent="0.3">
      <c r="A7">
        <v>2005</v>
      </c>
      <c r="B7" s="1">
        <v>91.054237365722656</v>
      </c>
      <c r="C7" s="2">
        <v>49968</v>
      </c>
      <c r="D7" s="2">
        <v>123418</v>
      </c>
      <c r="E7" s="1">
        <v>6575841506</v>
      </c>
      <c r="F7" s="1">
        <v>295993</v>
      </c>
      <c r="G7" s="1">
        <v>13039.197</v>
      </c>
      <c r="H7" s="1">
        <v>82.126999999999995</v>
      </c>
      <c r="I7" s="3">
        <v>2878.1340209999994</v>
      </c>
      <c r="J7">
        <v>9.8911854951185507</v>
      </c>
      <c r="K7" s="3">
        <v>3327.4727282999997</v>
      </c>
      <c r="L7" s="4">
        <f t="shared" si="0"/>
        <v>94.699251265319788</v>
      </c>
      <c r="M7" s="4">
        <f t="shared" si="1"/>
        <v>105.30074873468021</v>
      </c>
      <c r="P7">
        <v>2005</v>
      </c>
      <c r="Q7">
        <f t="shared" si="2"/>
        <v>0.68411420586946703</v>
      </c>
      <c r="R7">
        <f t="shared" si="3"/>
        <v>4207.095827431428</v>
      </c>
      <c r="S7" s="4">
        <f t="shared" si="4"/>
        <v>80.174393138129105</v>
      </c>
      <c r="T7" s="5"/>
      <c r="V7">
        <f t="shared" si="7"/>
        <v>0.79091916723264477</v>
      </c>
      <c r="W7">
        <f t="shared" si="5"/>
        <v>4.120281906378354</v>
      </c>
      <c r="X7" s="4">
        <f t="shared" si="6"/>
        <v>36.601131168156336</v>
      </c>
      <c r="AB7">
        <f t="shared" si="8"/>
        <v>449.33870730000035</v>
      </c>
      <c r="AC7">
        <f t="shared" si="9"/>
        <v>86.496096467496315</v>
      </c>
      <c r="AD7">
        <f t="shared" si="10"/>
        <v>93.337896667493141</v>
      </c>
      <c r="AE7">
        <v>100</v>
      </c>
    </row>
    <row r="8" spans="1:35" x14ac:dyDescent="0.3">
      <c r="A8">
        <v>2006</v>
      </c>
      <c r="B8" s="1">
        <v>84.098709106445313</v>
      </c>
      <c r="C8" s="2">
        <v>33114</v>
      </c>
      <c r="D8" s="2">
        <v>108756</v>
      </c>
      <c r="E8" s="1">
        <v>6659977025</v>
      </c>
      <c r="F8" s="1">
        <v>298818</v>
      </c>
      <c r="G8" s="1">
        <v>13815.583000000001</v>
      </c>
      <c r="H8" s="1">
        <v>84.44</v>
      </c>
      <c r="I8" s="3">
        <v>3081.2899382999999</v>
      </c>
      <c r="J8">
        <v>10.976553133514985</v>
      </c>
      <c r="K8" s="3">
        <v>3655.1163011999997</v>
      </c>
      <c r="L8" s="4">
        <f t="shared" si="0"/>
        <v>104.02392604676453</v>
      </c>
      <c r="M8" s="4">
        <f t="shared" si="1"/>
        <v>95.976073953235471</v>
      </c>
      <c r="P8">
        <v>2006</v>
      </c>
      <c r="Q8">
        <f t="shared" si="2"/>
        <v>0.67241581730591515</v>
      </c>
      <c r="R8">
        <f t="shared" si="3"/>
        <v>4582.4173956011646</v>
      </c>
      <c r="S8" s="4">
        <f t="shared" si="4"/>
        <v>87.326875561623424</v>
      </c>
      <c r="T8" s="5"/>
      <c r="V8">
        <f t="shared" si="7"/>
        <v>0.7976393212693117</v>
      </c>
      <c r="W8">
        <f t="shared" si="5"/>
        <v>3.9151286327618871</v>
      </c>
      <c r="X8" s="4">
        <f t="shared" si="6"/>
        <v>34.778721428281742</v>
      </c>
      <c r="AB8">
        <f t="shared" si="8"/>
        <v>573.82636289999982</v>
      </c>
      <c r="AC8">
        <f t="shared" si="9"/>
        <v>84.300735855884852</v>
      </c>
      <c r="AD8">
        <f t="shared" si="10"/>
        <v>90.968884072901929</v>
      </c>
      <c r="AE8">
        <v>100</v>
      </c>
    </row>
    <row r="9" spans="1:35" x14ac:dyDescent="0.3">
      <c r="A9">
        <v>2007</v>
      </c>
      <c r="B9" s="1">
        <v>79.869598388671875</v>
      </c>
      <c r="C9" s="2">
        <v>41255</v>
      </c>
      <c r="D9" s="2">
        <v>125362</v>
      </c>
      <c r="E9" s="1">
        <v>6744489399</v>
      </c>
      <c r="F9" s="1">
        <v>301696</v>
      </c>
      <c r="G9" s="1">
        <v>14474.227000000001</v>
      </c>
      <c r="H9" s="1">
        <v>86.606999999999999</v>
      </c>
      <c r="I9" s="3">
        <v>3055.7898104999995</v>
      </c>
      <c r="J9">
        <v>16.586238532110091</v>
      </c>
      <c r="K9" s="3">
        <v>3260.8196564999994</v>
      </c>
      <c r="L9" s="4">
        <f t="shared" si="0"/>
        <v>92.802317312920891</v>
      </c>
      <c r="M9" s="4">
        <f t="shared" si="1"/>
        <v>107.19768268707911</v>
      </c>
      <c r="P9">
        <v>2007</v>
      </c>
      <c r="Q9">
        <f t="shared" si="2"/>
        <v>0.62796919315028421</v>
      </c>
      <c r="R9">
        <f t="shared" si="3"/>
        <v>4866.1460527550025</v>
      </c>
      <c r="S9" s="4">
        <f t="shared" si="4"/>
        <v>92.733876931757081</v>
      </c>
      <c r="T9" s="5"/>
      <c r="V9">
        <f t="shared" si="7"/>
        <v>0.67010312085759605</v>
      </c>
      <c r="W9">
        <f t="shared" si="5"/>
        <v>11.207230385474901</v>
      </c>
      <c r="X9" s="4">
        <f t="shared" si="6"/>
        <v>99.555641747598159</v>
      </c>
      <c r="AB9">
        <f t="shared" si="8"/>
        <v>205.02984599999991</v>
      </c>
      <c r="AC9">
        <f t="shared" si="9"/>
        <v>93.712321820947665</v>
      </c>
      <c r="AD9">
        <f t="shared" si="10"/>
        <v>101.12492202328932</v>
      </c>
      <c r="AE9">
        <v>100</v>
      </c>
    </row>
    <row r="10" spans="1:35" x14ac:dyDescent="0.3">
      <c r="A10">
        <v>2008</v>
      </c>
      <c r="B10" s="1">
        <v>84.344528198242188</v>
      </c>
      <c r="C10" s="2">
        <v>42504</v>
      </c>
      <c r="D10" s="2">
        <v>136049</v>
      </c>
      <c r="E10" s="1">
        <v>6830513541</v>
      </c>
      <c r="F10" s="1">
        <v>304543</v>
      </c>
      <c r="G10" s="1">
        <v>14769.861999999999</v>
      </c>
      <c r="H10" s="1">
        <v>89.17</v>
      </c>
      <c r="I10" s="3">
        <v>3047.1182972999995</v>
      </c>
      <c r="J10">
        <v>15.537823383084577</v>
      </c>
      <c r="K10" s="3">
        <v>3185.3113529999996</v>
      </c>
      <c r="L10" s="4">
        <f t="shared" si="0"/>
        <v>90.653365123185665</v>
      </c>
      <c r="M10" s="4">
        <f t="shared" si="1"/>
        <v>109.34663487681433</v>
      </c>
      <c r="P10">
        <v>2008</v>
      </c>
      <c r="Q10">
        <f t="shared" si="2"/>
        <v>0.63479871404836163</v>
      </c>
      <c r="R10">
        <f t="shared" si="3"/>
        <v>4800.1330655938555</v>
      </c>
      <c r="S10" s="4">
        <f t="shared" si="4"/>
        <v>91.475871076418287</v>
      </c>
      <c r="T10" s="5"/>
      <c r="V10">
        <f t="shared" si="7"/>
        <v>0.66358813588554633</v>
      </c>
      <c r="W10">
        <f t="shared" si="5"/>
        <v>11.888071088537231</v>
      </c>
      <c r="X10" s="4">
        <f t="shared" si="6"/>
        <v>105.60365992781726</v>
      </c>
      <c r="AB10">
        <f t="shared" si="8"/>
        <v>138.19305570000006</v>
      </c>
      <c r="AC10">
        <f t="shared" si="9"/>
        <v>95.661552658899524</v>
      </c>
      <c r="AD10">
        <f t="shared" si="10"/>
        <v>103.2283360958794</v>
      </c>
      <c r="AE10">
        <v>100</v>
      </c>
    </row>
    <row r="11" spans="1:35" x14ac:dyDescent="0.3">
      <c r="A11" s="6">
        <v>2009</v>
      </c>
      <c r="B11" s="7">
        <v>82.045845031738281</v>
      </c>
      <c r="C11" s="6">
        <v>43380</v>
      </c>
      <c r="D11" s="6">
        <v>131485</v>
      </c>
      <c r="E11" s="8">
        <v>6916589116</v>
      </c>
      <c r="F11" s="6">
        <v>307240</v>
      </c>
      <c r="G11" s="6">
        <v>14478.066999999999</v>
      </c>
      <c r="H11" s="6">
        <v>88.921000000000006</v>
      </c>
      <c r="I11" s="3">
        <v>3362.8569113999997</v>
      </c>
      <c r="J11">
        <v>14.671880341880343</v>
      </c>
      <c r="K11" s="3">
        <v>3513.7265435999998</v>
      </c>
      <c r="L11" s="4">
        <f t="shared" si="0"/>
        <v>100</v>
      </c>
      <c r="M11" s="4">
        <f>100-(L11-100)</f>
        <v>100</v>
      </c>
      <c r="P11" s="6">
        <v>2009</v>
      </c>
      <c r="Q11">
        <f>J11^$O$1</f>
        <v>0.6408577867988976</v>
      </c>
      <c r="R11">
        <f>I11/Q11</f>
        <v>5247.4308351585505</v>
      </c>
      <c r="S11" s="4">
        <f>(R11/$R$11)*100</f>
        <v>100</v>
      </c>
      <c r="T11">
        <v>100.85527239326954</v>
      </c>
      <c r="V11">
        <f>K11/R11</f>
        <v>0.6696089293940799</v>
      </c>
      <c r="W11">
        <f t="shared" si="5"/>
        <v>11.257252917808932</v>
      </c>
      <c r="X11" s="4">
        <f t="shared" si="6"/>
        <v>100</v>
      </c>
      <c r="AB11">
        <f t="shared" si="8"/>
        <v>150.86963220000007</v>
      </c>
      <c r="AC11">
        <f t="shared" si="9"/>
        <v>95.706278495838035</v>
      </c>
      <c r="AD11">
        <f t="shared" si="10"/>
        <v>103.27659972530346</v>
      </c>
      <c r="AE11">
        <v>100</v>
      </c>
      <c r="AI11" s="12"/>
    </row>
    <row r="12" spans="1:35" x14ac:dyDescent="0.3">
      <c r="A12">
        <v>2010</v>
      </c>
      <c r="B12" s="9">
        <v>78.358200073242188</v>
      </c>
      <c r="C12" s="2">
        <v>28644</v>
      </c>
      <c r="D12" s="2">
        <v>114858</v>
      </c>
      <c r="E12" s="10">
        <v>7001266876</v>
      </c>
      <c r="F12" s="1">
        <v>309839</v>
      </c>
      <c r="G12" s="1">
        <v>15048.971</v>
      </c>
      <c r="H12" s="1">
        <v>90.513999999999996</v>
      </c>
      <c r="I12" s="3">
        <v>3281.5798469999995</v>
      </c>
      <c r="J12">
        <v>17.162303030303033</v>
      </c>
      <c r="K12" s="3">
        <v>3496.6039793999998</v>
      </c>
      <c r="L12" s="4">
        <f t="shared" si="0"/>
        <v>99.512695026561261</v>
      </c>
      <c r="M12" s="4">
        <f t="shared" ref="M12:M26" si="11">100-(L12-100)</f>
        <v>100.48730497343874</v>
      </c>
      <c r="P12">
        <v>2010</v>
      </c>
      <c r="Q12">
        <f t="shared" ref="Q12:Q26" si="12">J12^$O$1</f>
        <v>0.62442748416912197</v>
      </c>
      <c r="R12">
        <f t="shared" ref="R12:R26" si="13">I12/Q12</f>
        <v>5255.3417813864289</v>
      </c>
      <c r="S12" s="4">
        <f>(R12/$R$11)*100</f>
        <v>100.15075846593106</v>
      </c>
      <c r="T12">
        <v>104.36823893878218</v>
      </c>
      <c r="V12">
        <f t="shared" ref="V12:V25" si="14">K12/R12</f>
        <v>0.66534283113315407</v>
      </c>
      <c r="W12">
        <f t="shared" si="5"/>
        <v>11.700065770097561</v>
      </c>
      <c r="X12" s="4">
        <f t="shared" si="6"/>
        <v>103.93357824969979</v>
      </c>
      <c r="AB12">
        <f t="shared" si="8"/>
        <v>215.02413240000033</v>
      </c>
      <c r="AC12">
        <f t="shared" si="9"/>
        <v>93.850486538744448</v>
      </c>
      <c r="AD12">
        <f t="shared" si="10"/>
        <v>101.27401550472355</v>
      </c>
      <c r="AE12">
        <v>100</v>
      </c>
      <c r="AI12" s="12"/>
    </row>
    <row r="13" spans="1:35" x14ac:dyDescent="0.3">
      <c r="A13">
        <v>2011</v>
      </c>
      <c r="B13" s="9">
        <v>83.055450439453125</v>
      </c>
      <c r="C13" s="2">
        <v>25122</v>
      </c>
      <c r="D13" s="2">
        <v>122848</v>
      </c>
      <c r="E13" s="10">
        <v>7087120034</v>
      </c>
      <c r="F13" s="1">
        <v>312295</v>
      </c>
      <c r="G13" s="1">
        <v>15599.732</v>
      </c>
      <c r="H13" s="1">
        <v>92.804000000000002</v>
      </c>
      <c r="I13" s="3">
        <v>3158.9293763999995</v>
      </c>
      <c r="J13">
        <v>18.3187134502924</v>
      </c>
      <c r="K13" s="3">
        <v>3328.3178333999995</v>
      </c>
      <c r="L13" s="4">
        <f t="shared" si="0"/>
        <v>94.723302798343568</v>
      </c>
      <c r="M13" s="4">
        <f t="shared" si="11"/>
        <v>105.27669720165643</v>
      </c>
      <c r="P13">
        <v>2011</v>
      </c>
      <c r="Q13">
        <f t="shared" si="12"/>
        <v>0.61771857253080342</v>
      </c>
      <c r="R13">
        <f t="shared" si="13"/>
        <v>5113.8649813584407</v>
      </c>
      <c r="S13" s="4">
        <f t="shared" ref="S13:S26" si="15">(R13/$R$11)*100</f>
        <v>97.454642891046817</v>
      </c>
      <c r="T13">
        <v>97.927618000457429</v>
      </c>
      <c r="V13">
        <f t="shared" si="14"/>
        <v>0.6508419454820783</v>
      </c>
      <c r="W13">
        <f t="shared" si="5"/>
        <v>13.364644685325501</v>
      </c>
      <c r="X13" s="4">
        <f t="shared" si="6"/>
        <v>118.7203022167396</v>
      </c>
      <c r="AB13">
        <f t="shared" si="8"/>
        <v>169.38845700000002</v>
      </c>
      <c r="AC13">
        <f t="shared" si="9"/>
        <v>94.910688657790729</v>
      </c>
      <c r="AD13">
        <f>(AC13/$AC$28)*100</f>
        <v>102.41807910846529</v>
      </c>
      <c r="AE13">
        <v>100</v>
      </c>
      <c r="AI13" s="12"/>
    </row>
    <row r="14" spans="1:35" x14ac:dyDescent="0.3">
      <c r="A14">
        <v>2012</v>
      </c>
      <c r="B14" s="9">
        <v>83.028944651285812</v>
      </c>
      <c r="C14" s="2">
        <v>20859</v>
      </c>
      <c r="D14" s="2">
        <v>145530</v>
      </c>
      <c r="E14" s="10">
        <v>7176929184</v>
      </c>
      <c r="F14" s="1">
        <v>314725</v>
      </c>
      <c r="G14" s="1">
        <v>16253.97</v>
      </c>
      <c r="H14" s="1">
        <v>94.534000000000006</v>
      </c>
      <c r="I14" s="3">
        <v>3111.4197722999997</v>
      </c>
      <c r="J14">
        <v>20.597260273972605</v>
      </c>
      <c r="K14" s="3">
        <v>3251.9644247999995</v>
      </c>
      <c r="L14" s="4">
        <f t="shared" si="0"/>
        <v>92.550299075584547</v>
      </c>
      <c r="M14" s="4">
        <f t="shared" si="11"/>
        <v>107.44970092441545</v>
      </c>
      <c r="P14">
        <v>2012</v>
      </c>
      <c r="Q14">
        <f t="shared" si="12"/>
        <v>0.605837622240742</v>
      </c>
      <c r="R14">
        <f t="shared" si="13"/>
        <v>5135.7321798407784</v>
      </c>
      <c r="S14" s="4">
        <f>(R14/$R$11)*100</f>
        <v>97.871364886424516</v>
      </c>
      <c r="T14">
        <v>72.563129602795655</v>
      </c>
      <c r="V14">
        <f t="shared" si="14"/>
        <v>0.63320366228692615</v>
      </c>
      <c r="W14">
        <f t="shared" si="5"/>
        <v>15.77559678038596</v>
      </c>
      <c r="X14" s="4">
        <f t="shared" si="6"/>
        <v>140.13717996358619</v>
      </c>
      <c r="AB14">
        <f t="shared" si="8"/>
        <v>140.54465249999976</v>
      </c>
      <c r="AC14">
        <f t="shared" si="9"/>
        <v>95.678161439031001</v>
      </c>
      <c r="AD14">
        <f t="shared" si="10"/>
        <v>103.24625862264068</v>
      </c>
      <c r="AE14">
        <v>100</v>
      </c>
      <c r="AI14" s="12"/>
    </row>
    <row r="15" spans="1:35" x14ac:dyDescent="0.3">
      <c r="A15">
        <v>2013</v>
      </c>
      <c r="B15" s="9">
        <v>86.381656646728516</v>
      </c>
      <c r="C15" s="2">
        <v>31292</v>
      </c>
      <c r="D15" s="2">
        <v>216040</v>
      </c>
      <c r="E15" s="10">
        <v>7265892332</v>
      </c>
      <c r="F15" s="1">
        <v>317099</v>
      </c>
      <c r="G15" s="1">
        <v>16880.683000000001</v>
      </c>
      <c r="H15" s="1">
        <v>95.781000000000006</v>
      </c>
      <c r="I15" s="3">
        <v>3477.3135368999997</v>
      </c>
      <c r="J15">
        <v>18.322834645669289</v>
      </c>
      <c r="K15" s="3">
        <v>3569.3197616999996</v>
      </c>
      <c r="L15" s="4">
        <f t="shared" si="0"/>
        <v>101.58217258543523</v>
      </c>
      <c r="M15" s="4">
        <f t="shared" si="11"/>
        <v>98.417827414564769</v>
      </c>
      <c r="P15">
        <v>2013</v>
      </c>
      <c r="Q15">
        <f t="shared" si="12"/>
        <v>0.61769555409583488</v>
      </c>
      <c r="R15">
        <f t="shared" si="13"/>
        <v>5629.4941963601987</v>
      </c>
      <c r="S15" s="4">
        <f t="shared" si="15"/>
        <v>107.28096040145527</v>
      </c>
      <c r="T15">
        <v>89.78565293670205</v>
      </c>
      <c r="V15">
        <f t="shared" si="14"/>
        <v>0.63403915826181612</v>
      </c>
      <c r="W15">
        <f t="shared" si="5"/>
        <v>15.650525025334103</v>
      </c>
      <c r="X15" s="4">
        <f t="shared" si="6"/>
        <v>139.02614731676707</v>
      </c>
      <c r="AB15">
        <f t="shared" si="8"/>
        <v>92.006224799999927</v>
      </c>
      <c r="AC15">
        <f t="shared" si="9"/>
        <v>97.42230366168765</v>
      </c>
      <c r="AD15">
        <f t="shared" si="10"/>
        <v>105.12836166775223</v>
      </c>
      <c r="AE15">
        <v>100</v>
      </c>
      <c r="AI15" s="12"/>
    </row>
    <row r="16" spans="1:35" x14ac:dyDescent="0.3">
      <c r="A16">
        <v>2014</v>
      </c>
      <c r="B16" s="9">
        <v>99.92897478739421</v>
      </c>
      <c r="C16" s="2">
        <v>43974</v>
      </c>
      <c r="D16" s="2">
        <v>279937</v>
      </c>
      <c r="E16" s="10">
        <v>7354068030</v>
      </c>
      <c r="F16" s="1">
        <v>319601</v>
      </c>
      <c r="G16" s="1">
        <v>17608.137999999999</v>
      </c>
      <c r="H16" s="1">
        <v>97.120999999999995</v>
      </c>
      <c r="I16" s="3">
        <v>3862.6814624999997</v>
      </c>
      <c r="J16">
        <v>13.922222222222222</v>
      </c>
      <c r="K16" s="3">
        <v>4053.3077780999993</v>
      </c>
      <c r="L16" s="4">
        <f t="shared" si="0"/>
        <v>115.35638097628309</v>
      </c>
      <c r="M16" s="4">
        <f t="shared" si="11"/>
        <v>84.643619023716909</v>
      </c>
      <c r="P16">
        <v>2014</v>
      </c>
      <c r="Q16">
        <f t="shared" si="12"/>
        <v>0.64644994947555356</v>
      </c>
      <c r="R16">
        <f t="shared" si="13"/>
        <v>5975.2212304041223</v>
      </c>
      <c r="S16" s="4">
        <f t="shared" si="15"/>
        <v>113.86946142042065</v>
      </c>
      <c r="T16">
        <v>87.842946400240862</v>
      </c>
      <c r="V16">
        <f t="shared" si="14"/>
        <v>0.67835275411649687</v>
      </c>
      <c r="W16">
        <f t="shared" si="5"/>
        <v>10.409276811129391</v>
      </c>
      <c r="X16" s="4">
        <f t="shared" si="6"/>
        <v>92.467290973466135</v>
      </c>
      <c r="AB16">
        <f t="shared" si="8"/>
        <v>190.62631559999954</v>
      </c>
      <c r="AC16">
        <f t="shared" si="9"/>
        <v>95.297018483768923</v>
      </c>
      <c r="AD16">
        <f t="shared" si="10"/>
        <v>102.83496744041764</v>
      </c>
      <c r="AE16">
        <v>100</v>
      </c>
      <c r="AI16" s="12"/>
    </row>
    <row r="17" spans="1:35" x14ac:dyDescent="0.3">
      <c r="A17">
        <v>2015</v>
      </c>
      <c r="B17" s="9">
        <v>103.52058601379395</v>
      </c>
      <c r="C17" s="2">
        <v>44123</v>
      </c>
      <c r="D17" s="2">
        <v>313363</v>
      </c>
      <c r="E17" s="10">
        <v>7441677465</v>
      </c>
      <c r="F17" s="1">
        <v>322113</v>
      </c>
      <c r="G17" s="1">
        <v>18295.019</v>
      </c>
      <c r="H17" s="1">
        <v>97.299000000000007</v>
      </c>
      <c r="I17" s="3">
        <v>3944.2157327999998</v>
      </c>
      <c r="J17">
        <v>12.110529157667388</v>
      </c>
      <c r="K17" s="3">
        <v>4140.9415025999997</v>
      </c>
      <c r="L17" s="4">
        <f t="shared" si="0"/>
        <v>117.85042037896851</v>
      </c>
      <c r="M17" s="4">
        <f t="shared" si="11"/>
        <v>82.149579621031492</v>
      </c>
      <c r="P17">
        <v>2015</v>
      </c>
      <c r="Q17">
        <f t="shared" si="12"/>
        <v>0.66155320159704767</v>
      </c>
      <c r="R17">
        <f t="shared" si="13"/>
        <v>5962.0537294329706</v>
      </c>
      <c r="S17" s="4">
        <f t="shared" si="15"/>
        <v>113.61852908067587</v>
      </c>
      <c r="T17">
        <v>81.842769537626779</v>
      </c>
      <c r="V17">
        <f t="shared" si="14"/>
        <v>0.69454951104471674</v>
      </c>
      <c r="W17">
        <f t="shared" si="5"/>
        <v>9.0273582844634568</v>
      </c>
      <c r="X17" s="4">
        <f t="shared" si="6"/>
        <v>80.191484995262115</v>
      </c>
      <c r="AB17">
        <f t="shared" si="8"/>
        <v>196.72576979999985</v>
      </c>
      <c r="AC17">
        <f t="shared" si="9"/>
        <v>95.2492502085219</v>
      </c>
      <c r="AD17">
        <f t="shared" si="10"/>
        <v>102.7834207172581</v>
      </c>
      <c r="AE17">
        <v>100</v>
      </c>
      <c r="AI17" s="12"/>
    </row>
    <row r="18" spans="1:35" x14ac:dyDescent="0.3">
      <c r="A18">
        <v>2016</v>
      </c>
      <c r="B18" s="9">
        <v>100.41135597229004</v>
      </c>
      <c r="C18" s="2">
        <v>58253</v>
      </c>
      <c r="D18" s="2">
        <v>350824</v>
      </c>
      <c r="E18" s="10">
        <v>7528879985</v>
      </c>
      <c r="F18" s="1">
        <v>324609</v>
      </c>
      <c r="G18" s="1">
        <v>18804.913</v>
      </c>
      <c r="H18" s="1">
        <v>98.284000000000006</v>
      </c>
      <c r="I18" s="3">
        <v>4213.8777470999994</v>
      </c>
      <c r="J18">
        <v>12.772777179763187</v>
      </c>
      <c r="K18" s="3">
        <v>4515.4700366999996</v>
      </c>
      <c r="L18" s="4">
        <f t="shared" si="0"/>
        <v>128.50943238382064</v>
      </c>
      <c r="M18" s="4">
        <f t="shared" si="11"/>
        <v>71.490567616179362</v>
      </c>
      <c r="P18">
        <v>2016</v>
      </c>
      <c r="Q18">
        <f>J18^$O$1</f>
        <v>0.65574408659295658</v>
      </c>
      <c r="R18">
        <f>I18/Q18</f>
        <v>6426.1010251636499</v>
      </c>
      <c r="S18" s="4">
        <f t="shared" si="15"/>
        <v>122.46185280057122</v>
      </c>
      <c r="T18">
        <v>88.936169369717419</v>
      </c>
      <c r="V18">
        <f t="shared" si="14"/>
        <v>0.70267647816585743</v>
      </c>
      <c r="W18">
        <f t="shared" si="5"/>
        <v>8.4151714857819435</v>
      </c>
      <c r="X18" s="4">
        <f t="shared" si="6"/>
        <v>74.753330561394549</v>
      </c>
      <c r="AB18">
        <f t="shared" si="8"/>
        <v>301.59228960000019</v>
      </c>
      <c r="AC18">
        <f t="shared" si="9"/>
        <v>93.320910400273405</v>
      </c>
      <c r="AD18">
        <f t="shared" si="10"/>
        <v>100.70255014491096</v>
      </c>
      <c r="AE18">
        <v>100</v>
      </c>
      <c r="AI18" s="12"/>
    </row>
    <row r="19" spans="1:35" x14ac:dyDescent="0.3">
      <c r="A19">
        <v>2017</v>
      </c>
      <c r="B19" s="9">
        <v>102.3015677134196</v>
      </c>
      <c r="C19" s="2">
        <v>54367</v>
      </c>
      <c r="D19" s="2">
        <v>342235</v>
      </c>
      <c r="E19" s="10">
        <v>7614523410</v>
      </c>
      <c r="F19" s="1">
        <v>326860</v>
      </c>
      <c r="G19" s="1">
        <v>19612.102999999999</v>
      </c>
      <c r="H19" s="1">
        <v>100</v>
      </c>
      <c r="I19" s="3">
        <v>4296.9552527999995</v>
      </c>
      <c r="J19">
        <v>12.476510138740661</v>
      </c>
      <c r="K19" s="3">
        <v>4735.0503878999998</v>
      </c>
      <c r="L19" s="4">
        <f t="shared" si="0"/>
        <v>134.75864809470031</v>
      </c>
      <c r="M19" s="4">
        <f t="shared" si="11"/>
        <v>65.241351905299695</v>
      </c>
      <c r="P19">
        <v>2017</v>
      </c>
      <c r="Q19">
        <f t="shared" si="12"/>
        <v>0.6582984156947107</v>
      </c>
      <c r="R19">
        <f t="shared" si="13"/>
        <v>6527.3668451189687</v>
      </c>
      <c r="S19" s="4">
        <f t="shared" si="15"/>
        <v>124.39166994607459</v>
      </c>
      <c r="T19">
        <v>92.283147238868196</v>
      </c>
      <c r="V19">
        <f t="shared" si="14"/>
        <v>0.7254150870102809</v>
      </c>
      <c r="W19">
        <f t="shared" si="5"/>
        <v>6.9433801311205023</v>
      </c>
      <c r="X19" s="4">
        <f t="shared" si="6"/>
        <v>61.679169703437154</v>
      </c>
      <c r="AB19">
        <f t="shared" si="8"/>
        <v>438.09513510000033</v>
      </c>
      <c r="AC19">
        <f t="shared" si="9"/>
        <v>90.747825277223797</v>
      </c>
      <c r="AD19">
        <f t="shared" si="10"/>
        <v>97.925935209205534</v>
      </c>
      <c r="AE19">
        <v>100</v>
      </c>
      <c r="AI19" s="12"/>
    </row>
    <row r="20" spans="1:35" x14ac:dyDescent="0.3">
      <c r="A20">
        <v>2018</v>
      </c>
      <c r="B20" s="9">
        <v>108.06281852722168</v>
      </c>
      <c r="C20" s="2">
        <v>56823</v>
      </c>
      <c r="D20" s="2">
        <v>326775</v>
      </c>
      <c r="E20" s="10">
        <v>7697233736</v>
      </c>
      <c r="F20" s="1">
        <v>328794</v>
      </c>
      <c r="G20" s="1">
        <v>20656.516</v>
      </c>
      <c r="H20" s="1">
        <v>102.047</v>
      </c>
      <c r="I20" s="3">
        <v>3955.2755864999995</v>
      </c>
      <c r="J20">
        <v>11.184673684210527</v>
      </c>
      <c r="K20" s="3">
        <v>4880.3349776999994</v>
      </c>
      <c r="L20" s="4">
        <f t="shared" si="0"/>
        <v>138.89342033713973</v>
      </c>
      <c r="M20" s="4">
        <f t="shared" si="11"/>
        <v>61.10657966286027</v>
      </c>
      <c r="P20">
        <v>2018</v>
      </c>
      <c r="Q20">
        <f t="shared" si="12"/>
        <v>0.67032680884401552</v>
      </c>
      <c r="R20">
        <f t="shared" si="13"/>
        <v>5900.5182760345015</v>
      </c>
      <c r="S20" s="4">
        <f t="shared" si="15"/>
        <v>112.44585133929104</v>
      </c>
      <c r="T20">
        <v>90.264036224472179</v>
      </c>
      <c r="V20">
        <f t="shared" si="14"/>
        <v>0.82710276443374975</v>
      </c>
      <c r="W20">
        <f t="shared" si="5"/>
        <v>3.1452367526015541</v>
      </c>
      <c r="X20" s="4">
        <f t="shared" si="6"/>
        <v>27.939647226241149</v>
      </c>
      <c r="AB20">
        <f t="shared" si="8"/>
        <v>925.05939119999994</v>
      </c>
      <c r="AC20">
        <f t="shared" si="9"/>
        <v>81.045166050549227</v>
      </c>
      <c r="AD20">
        <f t="shared" si="10"/>
        <v>87.455800240287402</v>
      </c>
      <c r="AE20">
        <v>100</v>
      </c>
      <c r="AI20" s="12"/>
    </row>
    <row r="21" spans="1:35" x14ac:dyDescent="0.3">
      <c r="A21">
        <v>2019</v>
      </c>
      <c r="B21" s="9">
        <v>112.25717480977376</v>
      </c>
      <c r="C21" s="2">
        <v>50913</v>
      </c>
      <c r="D21" s="2">
        <v>314542</v>
      </c>
      <c r="E21" s="10">
        <v>7778008621</v>
      </c>
      <c r="F21" s="1">
        <v>330513</v>
      </c>
      <c r="G21" s="1">
        <v>21539.982</v>
      </c>
      <c r="H21" s="1">
        <v>103.509</v>
      </c>
      <c r="I21" s="3">
        <v>3952.9607333999998</v>
      </c>
      <c r="J21">
        <v>11.093192148760332</v>
      </c>
      <c r="K21" s="3">
        <v>4491.5131442999991</v>
      </c>
      <c r="L21" s="4">
        <f t="shared" si="0"/>
        <v>127.82762370853725</v>
      </c>
      <c r="M21" s="4">
        <f t="shared" si="11"/>
        <v>72.172376291462754</v>
      </c>
      <c r="P21">
        <v>2019</v>
      </c>
      <c r="Q21">
        <f t="shared" si="12"/>
        <v>0.67123942508257217</v>
      </c>
      <c r="R21">
        <f t="shared" si="13"/>
        <v>5889.0473140991808</v>
      </c>
      <c r="S21" s="4">
        <f t="shared" si="15"/>
        <v>112.22724985037833</v>
      </c>
      <c r="T21">
        <v>87.550077460243457</v>
      </c>
      <c r="V21">
        <f t="shared" si="14"/>
        <v>0.76268926105360124</v>
      </c>
      <c r="W21">
        <f t="shared" si="5"/>
        <v>5.1310953875620955</v>
      </c>
      <c r="X21" s="4">
        <f t="shared" si="6"/>
        <v>45.580350952626475</v>
      </c>
      <c r="AB21">
        <f t="shared" si="8"/>
        <v>538.55241089999936</v>
      </c>
      <c r="AC21">
        <f t="shared" si="9"/>
        <v>88.009555051988329</v>
      </c>
      <c r="AD21">
        <f t="shared" si="10"/>
        <v>94.971069108089111</v>
      </c>
      <c r="AE21">
        <v>100</v>
      </c>
      <c r="AI21" s="12"/>
    </row>
    <row r="22" spans="1:35" x14ac:dyDescent="0.3">
      <c r="A22">
        <v>2020</v>
      </c>
      <c r="B22" s="9">
        <v>110.50793647766113</v>
      </c>
      <c r="C22" s="2">
        <v>31358</v>
      </c>
      <c r="D22" s="2">
        <v>297358</v>
      </c>
      <c r="E22" s="10">
        <v>7854748424</v>
      </c>
      <c r="F22" s="1">
        <v>331840</v>
      </c>
      <c r="G22" s="1">
        <v>21375.281999999999</v>
      </c>
      <c r="H22" s="1">
        <v>104.666</v>
      </c>
      <c r="I22" s="3">
        <v>4517.6746586999998</v>
      </c>
      <c r="J22">
        <v>13.532400000000003</v>
      </c>
      <c r="K22" s="3">
        <v>4774.6600964999998</v>
      </c>
      <c r="L22" s="4">
        <f t="shared" si="0"/>
        <v>135.88593299033755</v>
      </c>
      <c r="M22" s="4">
        <f t="shared" si="11"/>
        <v>64.114067009662449</v>
      </c>
      <c r="P22">
        <v>2020</v>
      </c>
      <c r="Q22">
        <f t="shared" si="12"/>
        <v>0.64949841327995983</v>
      </c>
      <c r="R22">
        <f t="shared" si="13"/>
        <v>6955.6361745147187</v>
      </c>
      <c r="S22" s="4">
        <f t="shared" si="15"/>
        <v>132.55317493488326</v>
      </c>
      <c r="T22">
        <v>107.31692839785578</v>
      </c>
      <c r="V22">
        <f t="shared" si="14"/>
        <v>0.68644477323213626</v>
      </c>
      <c r="W22">
        <f t="shared" si="5"/>
        <v>9.6901936049484707</v>
      </c>
      <c r="X22" s="4">
        <f t="shared" si="6"/>
        <v>86.079558447324402</v>
      </c>
      <c r="AB22">
        <f t="shared" si="8"/>
        <v>256.9854378</v>
      </c>
      <c r="AC22">
        <f t="shared" si="9"/>
        <v>94.617722882758088</v>
      </c>
      <c r="AD22">
        <f t="shared" si="10"/>
        <v>102.10193987959981</v>
      </c>
      <c r="AE22">
        <v>100</v>
      </c>
      <c r="AI22" s="12"/>
    </row>
    <row r="23" spans="1:35" x14ac:dyDescent="0.3">
      <c r="A23">
        <v>2021</v>
      </c>
      <c r="B23" s="9">
        <v>117.94894282023112</v>
      </c>
      <c r="C23" s="2">
        <v>34975</v>
      </c>
      <c r="D23" s="2">
        <v>314119</v>
      </c>
      <c r="E23" s="10">
        <v>7920514854</v>
      </c>
      <c r="F23" s="1">
        <v>332505</v>
      </c>
      <c r="G23" s="1">
        <v>23725.646000000001</v>
      </c>
      <c r="H23" s="1">
        <v>108.973</v>
      </c>
      <c r="I23" s="3">
        <v>4463.0000330999992</v>
      </c>
      <c r="J23">
        <v>16.054816955684011</v>
      </c>
      <c r="K23" s="3">
        <v>4737.4019847</v>
      </c>
      <c r="L23" s="4">
        <f t="shared" si="0"/>
        <v>134.8255740996361</v>
      </c>
      <c r="M23" s="4">
        <f t="shared" si="11"/>
        <v>65.1744259003639</v>
      </c>
      <c r="P23">
        <v>2021</v>
      </c>
      <c r="Q23">
        <f t="shared" si="12"/>
        <v>0.63136597363496949</v>
      </c>
      <c r="R23">
        <f t="shared" si="13"/>
        <v>7068.8003780202562</v>
      </c>
      <c r="S23" s="4">
        <f t="shared" si="15"/>
        <v>134.70973891943967</v>
      </c>
      <c r="T23">
        <v>112.68819168993569</v>
      </c>
      <c r="V23">
        <f t="shared" si="14"/>
        <v>0.6701847175413933</v>
      </c>
      <c r="W23">
        <f t="shared" si="5"/>
        <v>11.198996035992925</v>
      </c>
      <c r="X23" s="4">
        <f t="shared" si="6"/>
        <v>99.48249468816816</v>
      </c>
      <c r="AB23">
        <f t="shared" si="8"/>
        <v>274.40195160000076</v>
      </c>
      <c r="AC23">
        <f t="shared" si="9"/>
        <v>94.207754535371606</v>
      </c>
      <c r="AD23">
        <f t="shared" si="10"/>
        <v>101.65954323040904</v>
      </c>
      <c r="AE23">
        <v>100</v>
      </c>
      <c r="AI23" s="12"/>
    </row>
    <row r="24" spans="1:35" x14ac:dyDescent="0.3">
      <c r="A24">
        <v>2022</v>
      </c>
      <c r="B24" s="9">
        <v>115.50069681803386</v>
      </c>
      <c r="C24" s="2">
        <v>34551</v>
      </c>
      <c r="D24" s="2">
        <v>305373</v>
      </c>
      <c r="E24" s="10">
        <v>7989545217</v>
      </c>
      <c r="F24" s="1">
        <v>334372</v>
      </c>
      <c r="G24" s="1">
        <v>26054.614000000001</v>
      </c>
      <c r="H24" s="1">
        <v>116.1</v>
      </c>
      <c r="I24" s="3">
        <v>4305.1123541999996</v>
      </c>
      <c r="J24">
        <v>15.634973637961336</v>
      </c>
      <c r="K24" s="3">
        <v>4569.2995572</v>
      </c>
      <c r="L24" s="4">
        <f t="shared" si="0"/>
        <v>130.04141046555401</v>
      </c>
      <c r="M24" s="4">
        <f t="shared" si="11"/>
        <v>69.958589534445991</v>
      </c>
      <c r="P24">
        <v>2022</v>
      </c>
      <c r="Q24">
        <f t="shared" si="12"/>
        <v>0.63414358741841348</v>
      </c>
      <c r="R24">
        <f t="shared" si="13"/>
        <v>6788.8605035431019</v>
      </c>
      <c r="S24" s="4">
        <f t="shared" si="15"/>
        <v>129.37494017180271</v>
      </c>
      <c r="T24">
        <v>88.186766833755911</v>
      </c>
      <c r="V24">
        <f t="shared" si="14"/>
        <v>0.67305839541338131</v>
      </c>
      <c r="W24">
        <f t="shared" si="5"/>
        <v>10.913445590088301</v>
      </c>
      <c r="X24" s="4">
        <f t="shared" si="6"/>
        <v>96.945903852113616</v>
      </c>
      <c r="AB24">
        <f t="shared" si="8"/>
        <v>264.18720300000041</v>
      </c>
      <c r="AC24">
        <f t="shared" si="9"/>
        <v>94.218212229405893</v>
      </c>
      <c r="AD24">
        <f t="shared" si="10"/>
        <v>101.6708281230807</v>
      </c>
      <c r="AE24">
        <v>100</v>
      </c>
      <c r="AI24" s="12"/>
    </row>
    <row r="25" spans="1:35" x14ac:dyDescent="0.3">
      <c r="A25">
        <v>2023</v>
      </c>
      <c r="B25" s="9">
        <v>117.15745989481609</v>
      </c>
      <c r="C25" s="2">
        <v>44792</v>
      </c>
      <c r="D25" s="2">
        <v>315448</v>
      </c>
      <c r="E25" s="10">
        <v>8064057930</v>
      </c>
      <c r="F25" s="1">
        <v>337141</v>
      </c>
      <c r="G25" s="1">
        <v>27811.517</v>
      </c>
      <c r="H25" s="1">
        <v>120.511</v>
      </c>
      <c r="I25" s="3">
        <v>4104.6754707</v>
      </c>
      <c r="J25">
        <v>12.9261231281198</v>
      </c>
      <c r="K25" s="3">
        <v>4447.0900110000002</v>
      </c>
      <c r="L25" s="4">
        <f t="shared" si="0"/>
        <v>126.56334964654705</v>
      </c>
      <c r="M25" s="4">
        <f t="shared" si="11"/>
        <v>73.436650353452947</v>
      </c>
      <c r="P25">
        <v>2023</v>
      </c>
      <c r="Q25">
        <f t="shared" si="12"/>
        <v>0.65444896093455684</v>
      </c>
      <c r="R25">
        <f t="shared" si="13"/>
        <v>6271.9565859475124</v>
      </c>
      <c r="S25" s="4">
        <f t="shared" si="15"/>
        <v>119.52433072437067</v>
      </c>
      <c r="T25">
        <v>95.964336994422709</v>
      </c>
      <c r="V25">
        <f t="shared" si="14"/>
        <v>0.70904349385386778</v>
      </c>
      <c r="W25">
        <f t="shared" si="5"/>
        <v>7.9692081205594665</v>
      </c>
      <c r="X25" s="4">
        <f t="shared" si="6"/>
        <v>70.791765795296371</v>
      </c>
      <c r="AB25">
        <f t="shared" si="8"/>
        <v>342.41454030000023</v>
      </c>
      <c r="AC25">
        <f t="shared" si="9"/>
        <v>92.300256134842598</v>
      </c>
      <c r="AD25">
        <f t="shared" si="10"/>
        <v>99.601162611245613</v>
      </c>
      <c r="AE25">
        <v>100</v>
      </c>
      <c r="AI25" s="12"/>
    </row>
    <row r="26" spans="1:35" x14ac:dyDescent="0.3">
      <c r="A26">
        <v>2024</v>
      </c>
      <c r="B26" s="9">
        <v>115.30511792500813</v>
      </c>
      <c r="C26" s="2">
        <v>38905</v>
      </c>
      <c r="D26" s="2">
        <v>293369</v>
      </c>
      <c r="E26" s="10">
        <v>8141808945</v>
      </c>
      <c r="F26" s="1">
        <v>340212</v>
      </c>
      <c r="G26" s="1">
        <v>29298.012999999999</v>
      </c>
      <c r="H26" s="1">
        <v>123.666</v>
      </c>
      <c r="I26" s="3">
        <v>4420.8182655000001</v>
      </c>
      <c r="J26">
        <v>10.195280716029293</v>
      </c>
      <c r="K26" s="3">
        <v>4745.6325735</v>
      </c>
      <c r="L26" s="4">
        <f t="shared" si="0"/>
        <v>135.05981511691135</v>
      </c>
      <c r="M26" s="4">
        <f t="shared" si="11"/>
        <v>64.940184883088648</v>
      </c>
      <c r="P26">
        <v>2024</v>
      </c>
      <c r="Q26">
        <f t="shared" si="12"/>
        <v>0.68069108004700829</v>
      </c>
      <c r="R26">
        <f t="shared" si="13"/>
        <v>6494.6029044404404</v>
      </c>
      <c r="S26" s="4">
        <f t="shared" si="15"/>
        <v>123.76728933568128</v>
      </c>
      <c r="T26">
        <v>94.660708343773081</v>
      </c>
      <c r="V26">
        <f>K26/R26</f>
        <v>0.73070403892674518</v>
      </c>
      <c r="W26">
        <f t="shared" si="5"/>
        <v>6.6454776303264076</v>
      </c>
      <c r="X26" s="4">
        <f t="shared" si="6"/>
        <v>59.032853564241115</v>
      </c>
      <c r="AB26">
        <f t="shared" si="8"/>
        <v>324.81430799999998</v>
      </c>
      <c r="AC26">
        <f t="shared" si="9"/>
        <v>93.155510820332154</v>
      </c>
      <c r="AD26">
        <f t="shared" si="10"/>
        <v>100.52406753665588</v>
      </c>
      <c r="AE26">
        <v>100</v>
      </c>
      <c r="AI26" s="12"/>
    </row>
    <row r="27" spans="1:35" x14ac:dyDescent="0.3">
      <c r="A27">
        <v>2025</v>
      </c>
      <c r="B27" s="9">
        <v>117.66338221232097</v>
      </c>
      <c r="C27" s="2">
        <v>51534</v>
      </c>
      <c r="D27" s="2">
        <v>279151</v>
      </c>
      <c r="E27" s="1">
        <f>AVERAGE((E26-E25),(E25-E24),(E24-E23),(E23-E22))+E26</f>
        <v>8213574075.25</v>
      </c>
      <c r="F27" s="1">
        <f t="shared" ref="F27:H27" si="16">AVERAGE((F26-F25),(F25-F24),(F24-F23),(F23-F22))+F26</f>
        <v>342305</v>
      </c>
      <c r="G27" s="1">
        <f t="shared" si="16"/>
        <v>31278.695749999999</v>
      </c>
      <c r="H27" s="1">
        <f t="shared" si="16"/>
        <v>128.416</v>
      </c>
      <c r="I27" s="3">
        <v>4256.9781071999996</v>
      </c>
      <c r="J27">
        <v>10.199999999999999</v>
      </c>
      <c r="K27" s="3">
        <v>4606.6679000999993</v>
      </c>
      <c r="L27" s="4">
        <f t="shared" si="0"/>
        <v>131.10490651273685</v>
      </c>
      <c r="M27" s="4">
        <f>100-(L27-100)</f>
        <v>68.895093487263154</v>
      </c>
      <c r="P27">
        <v>2025</v>
      </c>
      <c r="Q27">
        <f>J27^$O$1</f>
        <v>0.68063889769176422</v>
      </c>
      <c r="R27">
        <f>I27/Q27</f>
        <v>6254.3855804253863</v>
      </c>
      <c r="S27" s="4">
        <f>(R27/$R$11)*100</f>
        <v>119.1894810412763</v>
      </c>
      <c r="T27">
        <v>112.57872752323257</v>
      </c>
      <c r="V27">
        <f>K27/R27</f>
        <v>0.73655003211149661</v>
      </c>
      <c r="W27">
        <f t="shared" si="5"/>
        <v>6.3333773979237442</v>
      </c>
      <c r="X27" s="4">
        <f t="shared" si="6"/>
        <v>56.260416676828541</v>
      </c>
      <c r="AB27">
        <f t="shared" si="8"/>
        <v>349.6897928999997</v>
      </c>
      <c r="AC27">
        <f>(I27/K27)*100</f>
        <v>92.409051390650305</v>
      </c>
      <c r="AD27">
        <f>(AC27/$AC$28)*100</f>
        <v>99.718563520179231</v>
      </c>
      <c r="AE27">
        <v>100</v>
      </c>
      <c r="AI27" s="12"/>
    </row>
    <row r="28" spans="1:35" x14ac:dyDescent="0.3">
      <c r="I28" s="3">
        <v>413531</v>
      </c>
      <c r="J28" s="3"/>
      <c r="K28" s="3">
        <v>465065</v>
      </c>
      <c r="U28" s="14"/>
      <c r="V28" s="14"/>
      <c r="W28" s="14"/>
      <c r="X28" s="15"/>
      <c r="Y28" s="14"/>
      <c r="AC28">
        <f>AVERAGE(AC2:AC27)</f>
        <v>92.669858177359572</v>
      </c>
    </row>
    <row r="29" spans="1:35" x14ac:dyDescent="0.3">
      <c r="I29" s="3"/>
      <c r="J29" s="3"/>
      <c r="K29" s="3"/>
      <c r="R29">
        <f>AVERAGE(R2:R27)</f>
        <v>5460.0959422379674</v>
      </c>
      <c r="S29" s="4">
        <f>AVERAGE(S2:S27)</f>
        <v>104.05274721592386</v>
      </c>
      <c r="AD29">
        <f>MIN(AD2:AD27)</f>
        <v>87.455800240287402</v>
      </c>
    </row>
    <row r="30" spans="1:35" x14ac:dyDescent="0.3">
      <c r="S30">
        <f>STDEV(S2:S27)</f>
        <v>18.856231037263981</v>
      </c>
      <c r="AD30">
        <f>MAX(AD2:AD27)</f>
        <v>105.12836166775223</v>
      </c>
    </row>
    <row r="31" spans="1:35" x14ac:dyDescent="0.3">
      <c r="Q31" t="s">
        <v>21</v>
      </c>
      <c r="R31" t="s">
        <v>22</v>
      </c>
    </row>
    <row r="44" spans="7:40" x14ac:dyDescent="0.3"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spans="7:40" x14ac:dyDescent="0.3"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spans="7:40" x14ac:dyDescent="0.3"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spans="7:40" x14ac:dyDescent="0.3"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spans="7:40" x14ac:dyDescent="0.3"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spans="1:40" x14ac:dyDescent="0.3"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spans="1:40" x14ac:dyDescent="0.3"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1:40" x14ac:dyDescent="0.3"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1:40" x14ac:dyDescent="0.3"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1:40" x14ac:dyDescent="0.3"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spans="1:40" x14ac:dyDescent="0.3"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 x14ac:dyDescent="0.3">
      <c r="A55" t="s">
        <v>32</v>
      </c>
      <c r="B55" t="s">
        <v>33</v>
      </c>
      <c r="C55" t="s">
        <v>34</v>
      </c>
      <c r="D55" t="s">
        <v>35</v>
      </c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 x14ac:dyDescent="0.3">
      <c r="D56" s="19"/>
      <c r="G56" s="36"/>
      <c r="H56" s="36"/>
      <c r="I56" s="36"/>
      <c r="J56" s="36"/>
      <c r="K56" s="36"/>
      <c r="L56" s="36"/>
      <c r="M56" s="36"/>
      <c r="N56" s="36"/>
      <c r="O56" s="42"/>
      <c r="P56" s="42"/>
      <c r="Q56" s="42"/>
      <c r="R56" s="42"/>
      <c r="S56" s="42"/>
      <c r="T56" s="36"/>
      <c r="U56" s="36"/>
      <c r="V56" s="44"/>
      <c r="W56" s="44"/>
      <c r="X56" s="44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 x14ac:dyDescent="0.3">
      <c r="D57" s="19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 x14ac:dyDescent="0.3">
      <c r="D58" s="19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 x14ac:dyDescent="0.3">
      <c r="D59" s="19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 x14ac:dyDescent="0.3">
      <c r="D60" s="19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 x14ac:dyDescent="0.3">
      <c r="D61" s="19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 x14ac:dyDescent="0.3">
      <c r="D62" s="19"/>
      <c r="G62" s="36"/>
      <c r="H62" s="36"/>
      <c r="I62" s="36"/>
      <c r="J62" s="36"/>
      <c r="K62" s="36"/>
      <c r="L62" s="36"/>
      <c r="M62" s="39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 x14ac:dyDescent="0.3">
      <c r="D63" s="19"/>
      <c r="G63" s="36"/>
      <c r="H63" s="36"/>
      <c r="I63" s="36"/>
      <c r="J63" s="36"/>
      <c r="K63" s="36"/>
      <c r="L63" s="36"/>
      <c r="M63" s="36"/>
      <c r="N63" s="38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x14ac:dyDescent="0.3">
      <c r="D64" s="19"/>
      <c r="G64" s="36"/>
      <c r="H64" s="36"/>
      <c r="I64" s="36"/>
      <c r="J64" s="36"/>
      <c r="K64" s="36"/>
      <c r="L64" s="36"/>
      <c r="M64" s="36"/>
      <c r="N64" s="38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77" x14ac:dyDescent="0.3">
      <c r="A65">
        <v>2009</v>
      </c>
      <c r="B65">
        <f t="shared" ref="B65" si="17">S11</f>
        <v>100</v>
      </c>
      <c r="C65">
        <f>(A65-2008)*0.9785+99.104</f>
        <v>100.0825</v>
      </c>
      <c r="D65" s="19">
        <f>B65-C65</f>
        <v>-8.2499999999996021E-2</v>
      </c>
      <c r="E65">
        <f t="shared" ref="E65:E81" si="18">D65*3+100</f>
        <v>99.752500000000012</v>
      </c>
      <c r="F65">
        <v>100</v>
      </c>
      <c r="G65" s="36"/>
      <c r="H65" s="36"/>
      <c r="I65" s="36"/>
      <c r="J65" s="36"/>
      <c r="K65" s="36"/>
      <c r="L65" s="36"/>
      <c r="M65" s="36"/>
      <c r="N65" s="38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77" x14ac:dyDescent="0.3">
      <c r="A66">
        <v>2010</v>
      </c>
      <c r="B66">
        <f t="shared" ref="B66:B81" si="19">S12</f>
        <v>100.15075846593106</v>
      </c>
      <c r="C66">
        <f t="shared" ref="C66:C81" si="20">(A66-2008)*0.9785+99.104</f>
        <v>101.06099999999999</v>
      </c>
      <c r="D66" s="19">
        <f>B66-C66</f>
        <v>-0.91024153406893049</v>
      </c>
      <c r="E66">
        <f t="shared" si="18"/>
        <v>97.269275397793209</v>
      </c>
      <c r="F66">
        <v>100</v>
      </c>
      <c r="G66" s="36"/>
      <c r="H66" s="36"/>
      <c r="I66" s="36"/>
      <c r="J66" s="36"/>
      <c r="K66" s="36"/>
      <c r="L66" s="36"/>
      <c r="M66" s="36"/>
      <c r="N66" s="38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77" x14ac:dyDescent="0.3">
      <c r="A67">
        <v>2011</v>
      </c>
      <c r="B67">
        <f t="shared" si="19"/>
        <v>97.454642891046817</v>
      </c>
      <c r="C67">
        <f t="shared" si="20"/>
        <v>102.0395</v>
      </c>
      <c r="D67" s="19">
        <f t="shared" ref="D67:D81" si="21">B67-C67</f>
        <v>-4.5848571089531873</v>
      </c>
      <c r="E67">
        <f t="shared" si="18"/>
        <v>86.245428673140438</v>
      </c>
      <c r="F67">
        <v>100</v>
      </c>
      <c r="G67" s="36"/>
      <c r="H67" s="36"/>
      <c r="I67" s="36"/>
      <c r="J67" s="36"/>
      <c r="K67" s="36"/>
      <c r="L67" s="36"/>
      <c r="M67" s="36"/>
      <c r="N67" s="38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77" x14ac:dyDescent="0.3">
      <c r="A68">
        <v>2012</v>
      </c>
      <c r="B68">
        <f t="shared" si="19"/>
        <v>97.871364886424516</v>
      </c>
      <c r="C68">
        <f t="shared" si="20"/>
        <v>103.018</v>
      </c>
      <c r="D68" s="19">
        <f t="shared" si="21"/>
        <v>-5.1466351135754849</v>
      </c>
      <c r="E68">
        <f t="shared" si="18"/>
        <v>84.560094659273545</v>
      </c>
      <c r="F68">
        <v>100</v>
      </c>
      <c r="G68" s="36"/>
      <c r="H68" s="36"/>
      <c r="I68" s="36"/>
      <c r="J68" s="36"/>
      <c r="K68" s="36"/>
      <c r="L68" s="36"/>
      <c r="M68" s="36"/>
      <c r="N68" s="38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77" x14ac:dyDescent="0.3">
      <c r="A69">
        <v>2013</v>
      </c>
      <c r="B69">
        <f t="shared" si="19"/>
        <v>107.28096040145527</v>
      </c>
      <c r="C69">
        <f t="shared" si="20"/>
        <v>103.9965</v>
      </c>
      <c r="D69" s="19">
        <f t="shared" si="21"/>
        <v>3.2844604014552772</v>
      </c>
      <c r="E69">
        <f t="shared" si="18"/>
        <v>109.85338120436583</v>
      </c>
      <c r="F69">
        <v>100</v>
      </c>
      <c r="G69" s="36"/>
      <c r="H69" s="36"/>
      <c r="I69" s="36"/>
      <c r="J69" s="36"/>
      <c r="K69" s="36"/>
      <c r="L69" s="36"/>
      <c r="M69" s="36"/>
      <c r="N69" s="3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77" x14ac:dyDescent="0.3">
      <c r="A70">
        <v>2014</v>
      </c>
      <c r="B70">
        <f t="shared" si="19"/>
        <v>113.86946142042065</v>
      </c>
      <c r="C70">
        <f t="shared" si="20"/>
        <v>104.97499999999999</v>
      </c>
      <c r="D70" s="19">
        <f t="shared" si="21"/>
        <v>8.8944614204206545</v>
      </c>
      <c r="E70">
        <f t="shared" si="18"/>
        <v>126.68338426126196</v>
      </c>
      <c r="F70">
        <v>100</v>
      </c>
      <c r="G70" s="36"/>
      <c r="H70" s="36"/>
      <c r="I70" s="36"/>
      <c r="J70" s="36"/>
      <c r="K70" s="36"/>
      <c r="L70" s="36"/>
      <c r="M70" s="36"/>
      <c r="N70" s="38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77" x14ac:dyDescent="0.3">
      <c r="A71">
        <v>2015</v>
      </c>
      <c r="B71">
        <f t="shared" si="19"/>
        <v>113.61852908067587</v>
      </c>
      <c r="C71">
        <f t="shared" si="20"/>
        <v>105.95350000000001</v>
      </c>
      <c r="D71" s="19">
        <f t="shared" si="21"/>
        <v>7.6650290806758647</v>
      </c>
      <c r="E71">
        <f t="shared" si="18"/>
        <v>122.99508724202759</v>
      </c>
      <c r="F71">
        <v>100</v>
      </c>
      <c r="G71" s="36"/>
      <c r="H71" s="36"/>
      <c r="I71" s="36"/>
      <c r="J71" s="36"/>
      <c r="K71" s="36"/>
      <c r="L71" s="36"/>
      <c r="M71" s="36"/>
      <c r="N71" s="38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77" x14ac:dyDescent="0.3">
      <c r="A72">
        <v>2016</v>
      </c>
      <c r="B72">
        <f t="shared" si="19"/>
        <v>122.46185280057122</v>
      </c>
      <c r="C72">
        <f t="shared" si="20"/>
        <v>106.932</v>
      </c>
      <c r="D72" s="19">
        <f t="shared" si="21"/>
        <v>15.52985280057122</v>
      </c>
      <c r="E72">
        <f t="shared" si="18"/>
        <v>146.58955840171365</v>
      </c>
      <c r="F72">
        <v>100</v>
      </c>
      <c r="G72" s="36"/>
      <c r="H72" s="36"/>
      <c r="I72" s="36"/>
      <c r="J72" s="36"/>
      <c r="K72" s="36"/>
      <c r="L72" s="36"/>
      <c r="M72" s="36"/>
      <c r="N72" s="38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77" x14ac:dyDescent="0.3">
      <c r="A73">
        <v>2017</v>
      </c>
      <c r="B73">
        <f t="shared" si="19"/>
        <v>124.39166994607459</v>
      </c>
      <c r="C73">
        <f t="shared" si="20"/>
        <v>107.9105</v>
      </c>
      <c r="D73" s="19">
        <f t="shared" si="21"/>
        <v>16.481169946074587</v>
      </c>
      <c r="E73">
        <f t="shared" si="18"/>
        <v>149.44350983822375</v>
      </c>
      <c r="F73">
        <v>100</v>
      </c>
      <c r="G73" s="36"/>
      <c r="H73" s="36"/>
      <c r="I73" s="36"/>
      <c r="J73" s="36"/>
      <c r="K73" s="36"/>
      <c r="L73" s="36"/>
      <c r="M73" s="36"/>
      <c r="N73" s="38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77" x14ac:dyDescent="0.3">
      <c r="A74">
        <v>2018</v>
      </c>
      <c r="B74">
        <f t="shared" si="19"/>
        <v>112.44585133929104</v>
      </c>
      <c r="C74">
        <f t="shared" si="20"/>
        <v>108.889</v>
      </c>
      <c r="D74" s="19">
        <f t="shared" si="21"/>
        <v>3.5568513392910432</v>
      </c>
      <c r="E74">
        <f t="shared" si="18"/>
        <v>110.67055401787313</v>
      </c>
      <c r="F74">
        <v>100</v>
      </c>
      <c r="G74" s="36"/>
      <c r="H74" s="36"/>
      <c r="I74" s="36"/>
      <c r="J74" s="36"/>
      <c r="K74" s="36"/>
      <c r="L74" s="36"/>
      <c r="M74" s="36"/>
      <c r="N74" s="38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77" x14ac:dyDescent="0.3">
      <c r="A75">
        <v>2019</v>
      </c>
      <c r="B75">
        <f t="shared" si="19"/>
        <v>112.22724985037833</v>
      </c>
      <c r="C75">
        <f t="shared" si="20"/>
        <v>109.86750000000001</v>
      </c>
      <c r="D75" s="19">
        <f t="shared" si="21"/>
        <v>2.3597498503783214</v>
      </c>
      <c r="E75">
        <f t="shared" si="18"/>
        <v>107.07924955113496</v>
      </c>
      <c r="F75">
        <v>100</v>
      </c>
      <c r="G75" s="36"/>
      <c r="H75" s="36"/>
      <c r="I75" s="36"/>
      <c r="J75" s="36"/>
      <c r="K75" s="36"/>
      <c r="L75" s="36"/>
      <c r="M75" s="36"/>
      <c r="N75" s="38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77" x14ac:dyDescent="0.3">
      <c r="A76">
        <v>2020</v>
      </c>
      <c r="B76">
        <f t="shared" si="19"/>
        <v>132.55317493488326</v>
      </c>
      <c r="C76">
        <f t="shared" si="20"/>
        <v>110.846</v>
      </c>
      <c r="D76" s="19">
        <f t="shared" si="21"/>
        <v>21.707174934883255</v>
      </c>
      <c r="E76">
        <f t="shared" si="18"/>
        <v>165.12152480464977</v>
      </c>
      <c r="F76">
        <v>100</v>
      </c>
      <c r="G76" s="36"/>
      <c r="H76" s="36"/>
      <c r="I76" s="36"/>
      <c r="J76" s="36"/>
      <c r="K76" s="36"/>
      <c r="L76" s="36"/>
      <c r="M76" s="36"/>
      <c r="N76" s="38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</row>
    <row r="77" spans="1:77" x14ac:dyDescent="0.3">
      <c r="A77">
        <v>2021</v>
      </c>
      <c r="B77">
        <f t="shared" si="19"/>
        <v>134.70973891943967</v>
      </c>
      <c r="C77">
        <f t="shared" si="20"/>
        <v>111.8245</v>
      </c>
      <c r="D77" s="19">
        <f t="shared" si="21"/>
        <v>22.885238919439672</v>
      </c>
      <c r="E77">
        <f t="shared" si="18"/>
        <v>168.65571675831902</v>
      </c>
      <c r="F77">
        <v>100</v>
      </c>
      <c r="G77" s="36"/>
      <c r="H77" s="36"/>
      <c r="I77" s="36"/>
      <c r="J77" s="36"/>
      <c r="K77" s="36"/>
      <c r="L77" s="36"/>
      <c r="M77" s="36"/>
      <c r="N77" s="38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</row>
    <row r="78" spans="1:77" x14ac:dyDescent="0.3">
      <c r="A78">
        <v>2022</v>
      </c>
      <c r="B78">
        <f t="shared" si="19"/>
        <v>129.37494017180271</v>
      </c>
      <c r="C78">
        <f t="shared" si="20"/>
        <v>112.803</v>
      </c>
      <c r="D78" s="19">
        <f t="shared" si="21"/>
        <v>16.571940171802709</v>
      </c>
      <c r="E78">
        <f t="shared" si="18"/>
        <v>149.71582051540813</v>
      </c>
      <c r="F78">
        <v>100</v>
      </c>
      <c r="G78" s="36"/>
      <c r="H78" s="36"/>
      <c r="I78" s="36"/>
      <c r="J78" s="36"/>
      <c r="K78" s="36"/>
      <c r="L78" s="36"/>
      <c r="M78" s="36"/>
      <c r="N78" s="38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</row>
    <row r="79" spans="1:77" x14ac:dyDescent="0.3">
      <c r="A79">
        <v>2023</v>
      </c>
      <c r="B79">
        <f t="shared" si="19"/>
        <v>119.52433072437067</v>
      </c>
      <c r="C79">
        <f t="shared" si="20"/>
        <v>113.78149999999999</v>
      </c>
      <c r="D79" s="19">
        <f t="shared" si="21"/>
        <v>5.7428307243706769</v>
      </c>
      <c r="E79">
        <f t="shared" si="18"/>
        <v>117.22849217311203</v>
      </c>
      <c r="F79">
        <v>100</v>
      </c>
      <c r="G79" s="36"/>
      <c r="H79" s="36"/>
      <c r="I79" s="36"/>
      <c r="J79" s="36"/>
      <c r="K79" s="36"/>
      <c r="L79" s="36"/>
      <c r="M79" s="36"/>
      <c r="N79" s="38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 t="s">
        <v>51</v>
      </c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</row>
    <row r="80" spans="1:77" x14ac:dyDescent="0.3">
      <c r="A80">
        <v>2024</v>
      </c>
      <c r="B80">
        <f t="shared" si="19"/>
        <v>123.76728933568128</v>
      </c>
      <c r="C80">
        <f t="shared" si="20"/>
        <v>114.76</v>
      </c>
      <c r="D80" s="19">
        <f t="shared" si="21"/>
        <v>9.0072893356812784</v>
      </c>
      <c r="E80">
        <f t="shared" si="18"/>
        <v>127.02186800704384</v>
      </c>
      <c r="F80">
        <v>100</v>
      </c>
      <c r="G80" s="36"/>
      <c r="H80" s="36"/>
      <c r="I80" s="36"/>
      <c r="J80" s="36"/>
      <c r="K80" s="36"/>
      <c r="L80" s="36"/>
      <c r="M80" s="36"/>
      <c r="N80" s="38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</row>
    <row r="81" spans="1:77" x14ac:dyDescent="0.3">
      <c r="A81">
        <v>2025</v>
      </c>
      <c r="B81">
        <f t="shared" si="19"/>
        <v>119.1894810412763</v>
      </c>
      <c r="C81">
        <f t="shared" si="20"/>
        <v>115.7385</v>
      </c>
      <c r="D81" s="19">
        <f t="shared" si="21"/>
        <v>3.4509810412762931</v>
      </c>
      <c r="E81">
        <f t="shared" si="18"/>
        <v>110.35294312382888</v>
      </c>
      <c r="F81">
        <v>100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</row>
    <row r="82" spans="1:77" x14ac:dyDescent="0.3">
      <c r="C82" t="s">
        <v>37</v>
      </c>
      <c r="D82" s="19">
        <f>AVERAGE(D65:D81)</f>
        <v>7.4360468358660734</v>
      </c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</row>
    <row r="83" spans="1:77" x14ac:dyDescent="0.3">
      <c r="C83" t="s">
        <v>38</v>
      </c>
      <c r="D83" s="12">
        <f>MIN(D65:D82)</f>
        <v>-5.1466351135754849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</row>
    <row r="84" spans="1:77" x14ac:dyDescent="0.3">
      <c r="B84" s="12"/>
      <c r="C84" t="s">
        <v>39</v>
      </c>
      <c r="D84" s="12">
        <f>MAX(D65:D81)</f>
        <v>22.885238919439672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</row>
    <row r="85" spans="1:77" x14ac:dyDescent="0.3">
      <c r="C85" t="s">
        <v>41</v>
      </c>
      <c r="D85" s="20">
        <f>STDEV(D65:D81)</f>
        <v>8.6008530754167438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</row>
    <row r="86" spans="1:77" x14ac:dyDescent="0.3"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</row>
    <row r="87" spans="1:77" x14ac:dyDescent="0.3"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7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</row>
    <row r="88" spans="1:77" x14ac:dyDescent="0.3">
      <c r="A88" t="s">
        <v>45</v>
      </c>
      <c r="B88" t="s">
        <v>33</v>
      </c>
      <c r="C88" t="s">
        <v>34</v>
      </c>
      <c r="D88" t="s">
        <v>46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7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</row>
    <row r="89" spans="1:77" x14ac:dyDescent="0.3">
      <c r="B89" s="3"/>
      <c r="G89" s="45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7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</row>
    <row r="90" spans="1:77" x14ac:dyDescent="0.3">
      <c r="B90" s="3"/>
      <c r="G90" s="45"/>
      <c r="H90" s="36"/>
      <c r="I90" s="36"/>
      <c r="J90" s="36"/>
      <c r="K90" s="36"/>
      <c r="L90" s="36"/>
      <c r="M90" s="36"/>
      <c r="N90" s="38"/>
      <c r="O90" s="36"/>
      <c r="P90" s="36"/>
      <c r="Q90" s="36"/>
      <c r="R90" s="36"/>
      <c r="S90" s="37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</row>
    <row r="91" spans="1:77" x14ac:dyDescent="0.3">
      <c r="B91" s="3"/>
      <c r="G91" s="45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7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</row>
    <row r="92" spans="1:77" x14ac:dyDescent="0.3">
      <c r="B92" s="3"/>
      <c r="G92" s="45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7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</row>
    <row r="93" spans="1:77" x14ac:dyDescent="0.3">
      <c r="B93" s="3"/>
      <c r="G93" s="45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7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</row>
    <row r="94" spans="1:77" x14ac:dyDescent="0.3">
      <c r="B94" s="3"/>
      <c r="G94" s="45"/>
      <c r="H94" s="36"/>
      <c r="I94" s="36"/>
      <c r="J94" s="36"/>
      <c r="K94" s="36"/>
      <c r="L94" s="36"/>
      <c r="M94" s="39"/>
      <c r="N94" s="36"/>
      <c r="O94" s="36"/>
      <c r="P94" s="36"/>
      <c r="Q94" s="36"/>
      <c r="R94" s="36"/>
      <c r="S94" s="37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</row>
    <row r="95" spans="1:77" x14ac:dyDescent="0.3">
      <c r="B95" s="3"/>
      <c r="G95" s="45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7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</row>
    <row r="96" spans="1:77" x14ac:dyDescent="0.3">
      <c r="B96" s="3"/>
      <c r="G96" s="45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7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</row>
    <row r="97" spans="1:77" x14ac:dyDescent="0.3">
      <c r="B97" s="3"/>
      <c r="G97" s="45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7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</row>
    <row r="98" spans="1:77" x14ac:dyDescent="0.3">
      <c r="A98">
        <v>2009</v>
      </c>
      <c r="B98" s="3">
        <f t="shared" ref="B98:B114" si="22">K11</f>
        <v>3513.7265435999998</v>
      </c>
      <c r="C98">
        <f>(A98-2008)*5612.6+345812</f>
        <v>351424.6</v>
      </c>
      <c r="D98">
        <f t="shared" ref="D98:D114" si="23">(B98/C98)-1</f>
        <v>-0.99000147814467176</v>
      </c>
      <c r="E98">
        <f t="shared" ref="E98:E114" si="24">((D98*100)*3)+100</f>
        <v>-197.00044344340154</v>
      </c>
      <c r="F98">
        <v>100</v>
      </c>
      <c r="G98" s="45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7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</row>
    <row r="99" spans="1:77" x14ac:dyDescent="0.3">
      <c r="A99">
        <v>2010</v>
      </c>
      <c r="B99" s="3">
        <f t="shared" si="22"/>
        <v>3496.6039793999998</v>
      </c>
      <c r="C99">
        <f t="shared" ref="C99:C114" si="25">(A99-2008)*5612.6+345812</f>
        <v>357037.2</v>
      </c>
      <c r="D99">
        <f t="shared" si="23"/>
        <v>-0.99020661158165035</v>
      </c>
      <c r="E99">
        <f t="shared" si="24"/>
        <v>-197.06198347449515</v>
      </c>
      <c r="F99">
        <v>100</v>
      </c>
      <c r="G99" s="45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7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40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</row>
    <row r="100" spans="1:77" x14ac:dyDescent="0.3">
      <c r="A100">
        <v>2011</v>
      </c>
      <c r="B100" s="3">
        <f t="shared" si="22"/>
        <v>3328.3178333999995</v>
      </c>
      <c r="C100">
        <f t="shared" si="25"/>
        <v>362649.8</v>
      </c>
      <c r="D100">
        <f t="shared" si="23"/>
        <v>-0.990822226198939</v>
      </c>
      <c r="E100">
        <f t="shared" si="24"/>
        <v>-197.24666785968168</v>
      </c>
      <c r="F100">
        <v>100</v>
      </c>
      <c r="G100" s="45"/>
      <c r="H100" s="36"/>
      <c r="I100" s="36"/>
      <c r="J100" s="36"/>
      <c r="K100" s="36"/>
      <c r="L100" s="36"/>
      <c r="M100" s="36"/>
      <c r="N100" s="36"/>
      <c r="O100" s="36"/>
      <c r="P100" s="36"/>
      <c r="Q100" s="41"/>
      <c r="R100" s="41"/>
      <c r="S100" s="37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41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41"/>
      <c r="BS100" s="36"/>
      <c r="BT100" s="36"/>
      <c r="BU100" s="36"/>
      <c r="BV100" s="36"/>
      <c r="BW100" s="36"/>
      <c r="BX100" s="36"/>
      <c r="BY100" s="36"/>
    </row>
    <row r="101" spans="1:77" x14ac:dyDescent="0.3">
      <c r="A101">
        <v>2012</v>
      </c>
      <c r="B101" s="3">
        <f t="shared" si="22"/>
        <v>3251.9644247999995</v>
      </c>
      <c r="C101">
        <f t="shared" si="25"/>
        <v>368262.40000000002</v>
      </c>
      <c r="D101">
        <f t="shared" si="23"/>
        <v>-0.99116943672555224</v>
      </c>
      <c r="E101">
        <f t="shared" si="24"/>
        <v>-197.35083101766566</v>
      </c>
      <c r="F101">
        <v>100</v>
      </c>
      <c r="G101" s="45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7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</row>
    <row r="102" spans="1:77" x14ac:dyDescent="0.3">
      <c r="A102">
        <v>2013</v>
      </c>
      <c r="B102" s="3">
        <f t="shared" si="22"/>
        <v>3569.3197616999996</v>
      </c>
      <c r="C102">
        <f t="shared" si="25"/>
        <v>373875</v>
      </c>
      <c r="D102">
        <f t="shared" si="23"/>
        <v>-0.99045317348926776</v>
      </c>
      <c r="E102">
        <f t="shared" si="24"/>
        <v>-197.13595204678029</v>
      </c>
      <c r="F102">
        <v>100</v>
      </c>
      <c r="G102" s="45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7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40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</row>
    <row r="103" spans="1:77" x14ac:dyDescent="0.3">
      <c r="A103">
        <v>2014</v>
      </c>
      <c r="B103" s="3">
        <f t="shared" si="22"/>
        <v>4053.3077780999993</v>
      </c>
      <c r="C103">
        <f t="shared" si="25"/>
        <v>379487.6</v>
      </c>
      <c r="D103">
        <f t="shared" si="23"/>
        <v>-0.98931899809611701</v>
      </c>
      <c r="E103">
        <f t="shared" si="24"/>
        <v>-196.79569942883512</v>
      </c>
      <c r="F103">
        <v>100</v>
      </c>
      <c r="G103" s="45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7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</row>
    <row r="104" spans="1:77" x14ac:dyDescent="0.3">
      <c r="A104">
        <v>2015</v>
      </c>
      <c r="B104" s="3">
        <f t="shared" si="22"/>
        <v>4140.9415025999997</v>
      </c>
      <c r="C104">
        <f t="shared" si="25"/>
        <v>385100.2</v>
      </c>
      <c r="D104">
        <f t="shared" si="23"/>
        <v>-0.98924710633076796</v>
      </c>
      <c r="E104">
        <f t="shared" si="24"/>
        <v>-196.77413189923038</v>
      </c>
      <c r="F104">
        <v>100</v>
      </c>
      <c r="G104" s="45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</row>
    <row r="105" spans="1:77" x14ac:dyDescent="0.3">
      <c r="A105">
        <v>2016</v>
      </c>
      <c r="B105" s="3">
        <f t="shared" si="22"/>
        <v>4515.4700366999996</v>
      </c>
      <c r="C105">
        <f t="shared" si="25"/>
        <v>390712.8</v>
      </c>
      <c r="D105">
        <f t="shared" si="23"/>
        <v>-0.98844299435109373</v>
      </c>
      <c r="E105">
        <f t="shared" si="24"/>
        <v>-196.5328983053281</v>
      </c>
      <c r="F105">
        <v>100</v>
      </c>
      <c r="G105" s="45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</row>
    <row r="106" spans="1:77" x14ac:dyDescent="0.3">
      <c r="A106">
        <v>2017</v>
      </c>
      <c r="B106" s="3">
        <f t="shared" si="22"/>
        <v>4735.0503878999998</v>
      </c>
      <c r="C106">
        <f t="shared" si="25"/>
        <v>396325.4</v>
      </c>
      <c r="D106">
        <f t="shared" si="23"/>
        <v>-0.98805261941853839</v>
      </c>
      <c r="E106">
        <f t="shared" si="24"/>
        <v>-196.41578582556156</v>
      </c>
      <c r="F106">
        <v>100</v>
      </c>
      <c r="G106" s="4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</row>
    <row r="107" spans="1:77" x14ac:dyDescent="0.3">
      <c r="A107">
        <v>2018</v>
      </c>
      <c r="B107" s="3">
        <f t="shared" si="22"/>
        <v>4880.3349776999994</v>
      </c>
      <c r="C107">
        <f t="shared" si="25"/>
        <v>401938</v>
      </c>
      <c r="D107">
        <f t="shared" si="23"/>
        <v>-0.98785799059133494</v>
      </c>
      <c r="E107">
        <f t="shared" si="24"/>
        <v>-196.35739717740046</v>
      </c>
      <c r="F107">
        <v>100</v>
      </c>
      <c r="G107" s="45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</row>
    <row r="108" spans="1:77" x14ac:dyDescent="0.3">
      <c r="A108">
        <v>2019</v>
      </c>
      <c r="B108" s="3">
        <f t="shared" si="22"/>
        <v>4491.5131442999991</v>
      </c>
      <c r="C108">
        <f t="shared" si="25"/>
        <v>407550.6</v>
      </c>
      <c r="D108">
        <f t="shared" si="23"/>
        <v>-0.98897925032057366</v>
      </c>
      <c r="E108">
        <f t="shared" si="24"/>
        <v>-196.69377509617209</v>
      </c>
      <c r="F108">
        <v>100</v>
      </c>
      <c r="G108" s="45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</row>
    <row r="109" spans="1:77" x14ac:dyDescent="0.3">
      <c r="A109">
        <v>2020</v>
      </c>
      <c r="B109" s="3">
        <f t="shared" si="22"/>
        <v>4774.6600964999998</v>
      </c>
      <c r="C109">
        <f t="shared" si="25"/>
        <v>413163.2</v>
      </c>
      <c r="D109">
        <f t="shared" si="23"/>
        <v>-0.98844364624802017</v>
      </c>
      <c r="E109">
        <f t="shared" si="24"/>
        <v>-196.53309387440606</v>
      </c>
      <c r="F109">
        <v>100</v>
      </c>
      <c r="G109" s="45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</row>
    <row r="110" spans="1:77" x14ac:dyDescent="0.3">
      <c r="A110">
        <v>2021</v>
      </c>
      <c r="B110" s="3">
        <f t="shared" si="22"/>
        <v>4737.4019847</v>
      </c>
      <c r="C110">
        <f t="shared" si="25"/>
        <v>418775.8</v>
      </c>
      <c r="D110">
        <f t="shared" si="23"/>
        <v>-0.98868749821575175</v>
      </c>
      <c r="E110">
        <f t="shared" si="24"/>
        <v>-196.60624946472552</v>
      </c>
      <c r="F110">
        <v>100</v>
      </c>
      <c r="G110" s="45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</row>
    <row r="111" spans="1:77" x14ac:dyDescent="0.3">
      <c r="A111">
        <v>2022</v>
      </c>
      <c r="B111" s="3">
        <f t="shared" si="22"/>
        <v>4569.2995572</v>
      </c>
      <c r="C111">
        <f t="shared" si="25"/>
        <v>424388.4</v>
      </c>
      <c r="D111">
        <f t="shared" si="23"/>
        <v>-0.98923321288423527</v>
      </c>
      <c r="E111">
        <f t="shared" si="24"/>
        <v>-196.7699638652706</v>
      </c>
      <c r="F111">
        <v>100</v>
      </c>
      <c r="G111" s="45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</row>
    <row r="112" spans="1:77" x14ac:dyDescent="0.3">
      <c r="A112">
        <v>2023</v>
      </c>
      <c r="B112" s="3">
        <f t="shared" si="22"/>
        <v>4447.0900110000002</v>
      </c>
      <c r="C112">
        <f t="shared" si="25"/>
        <v>430001</v>
      </c>
      <c r="D112">
        <f t="shared" si="23"/>
        <v>-0.98965795425824588</v>
      </c>
      <c r="E112">
        <f t="shared" si="24"/>
        <v>-196.89738627747374</v>
      </c>
      <c r="F112">
        <v>100</v>
      </c>
      <c r="G112" s="45"/>
      <c r="H112" s="36"/>
      <c r="I112" s="36"/>
      <c r="J112" s="36"/>
      <c r="K112" s="36"/>
      <c r="L112" s="36"/>
      <c r="M112" s="36"/>
      <c r="N112" s="39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</row>
    <row r="113" spans="1:77" x14ac:dyDescent="0.3">
      <c r="A113">
        <v>2024</v>
      </c>
      <c r="B113" s="3">
        <f t="shared" si="22"/>
        <v>4745.6325735</v>
      </c>
      <c r="C113">
        <f t="shared" si="25"/>
        <v>435613.6</v>
      </c>
      <c r="D113">
        <f t="shared" si="23"/>
        <v>-0.98910586681981461</v>
      </c>
      <c r="E113">
        <f t="shared" si="24"/>
        <v>-196.73176004594438</v>
      </c>
      <c r="F113">
        <v>100</v>
      </c>
      <c r="G113" s="45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</row>
    <row r="114" spans="1:77" x14ac:dyDescent="0.3">
      <c r="A114">
        <v>2025</v>
      </c>
      <c r="B114" s="3">
        <f t="shared" si="22"/>
        <v>4606.6679000999993</v>
      </c>
      <c r="C114">
        <f t="shared" si="25"/>
        <v>441226.2</v>
      </c>
      <c r="D114">
        <f t="shared" si="23"/>
        <v>-0.98955939629129008</v>
      </c>
      <c r="E114">
        <f t="shared" si="24"/>
        <v>-196.86781888738699</v>
      </c>
      <c r="F114">
        <v>100</v>
      </c>
      <c r="G114" s="45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</row>
    <row r="115" spans="1:77" x14ac:dyDescent="0.3">
      <c r="C115" t="s">
        <v>37</v>
      </c>
      <c r="D115" s="19">
        <f>AVERAGE(D98:D114)</f>
        <v>-0.98936702705681556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41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</row>
    <row r="116" spans="1:77" x14ac:dyDescent="0.3">
      <c r="C116" t="s">
        <v>38</v>
      </c>
      <c r="D116" s="12">
        <f>MIN(D98:D115)</f>
        <v>-0.99116943672555224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</row>
    <row r="117" spans="1:77" x14ac:dyDescent="0.3">
      <c r="C117" t="s">
        <v>39</v>
      </c>
      <c r="D117" s="12">
        <f>MAX(D98:D114)</f>
        <v>-0.98785799059133494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</row>
    <row r="118" spans="1:77" x14ac:dyDescent="0.3">
      <c r="C118" t="s">
        <v>41</v>
      </c>
      <c r="D118" s="20">
        <f>STDEV(D98:D114)</f>
        <v>9.4211630471771504E-4</v>
      </c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</row>
    <row r="119" spans="1:77" x14ac:dyDescent="0.3"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</row>
    <row r="120" spans="1:77" x14ac:dyDescent="0.3"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</row>
    <row r="121" spans="1:77" x14ac:dyDescent="0.3"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</row>
    <row r="122" spans="1:77" x14ac:dyDescent="0.3"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</row>
    <row r="123" spans="1:77" x14ac:dyDescent="0.3"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</row>
    <row r="124" spans="1:77" x14ac:dyDescent="0.3"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</row>
    <row r="125" spans="1:77" x14ac:dyDescent="0.3"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</row>
    <row r="126" spans="1:77" x14ac:dyDescent="0.3"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</row>
    <row r="127" spans="1:77" x14ac:dyDescent="0.3"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</row>
    <row r="128" spans="1:77" x14ac:dyDescent="0.3"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</row>
    <row r="129" spans="7:77" x14ac:dyDescent="0.3"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41"/>
      <c r="S129" s="41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</row>
    <row r="130" spans="7:77" x14ac:dyDescent="0.3"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</row>
    <row r="131" spans="7:77" x14ac:dyDescent="0.3"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</row>
    <row r="132" spans="7:77" x14ac:dyDescent="0.3"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</row>
    <row r="133" spans="7:77" x14ac:dyDescent="0.3"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</row>
    <row r="134" spans="7:77" x14ac:dyDescent="0.3"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</row>
    <row r="135" spans="7:77" x14ac:dyDescent="0.3"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</row>
    <row r="136" spans="7:77" s="3" customFormat="1" x14ac:dyDescent="0.3"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</row>
    <row r="137" spans="7:77" x14ac:dyDescent="0.3"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</row>
    <row r="138" spans="7:77" x14ac:dyDescent="0.3"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</row>
    <row r="139" spans="7:77" x14ac:dyDescent="0.3"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</row>
    <row r="140" spans="7:77" x14ac:dyDescent="0.3"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42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</row>
    <row r="141" spans="7:77" x14ac:dyDescent="0.3"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42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</row>
    <row r="142" spans="7:77" x14ac:dyDescent="0.3"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43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</row>
    <row r="143" spans="7:77" x14ac:dyDescent="0.3"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43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spans="7:77" x14ac:dyDescent="0.3"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43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spans="7:40" x14ac:dyDescent="0.3"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43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spans="7:40" x14ac:dyDescent="0.3"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43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spans="7:40" x14ac:dyDescent="0.3"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43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spans="7:40" x14ac:dyDescent="0.3"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4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spans="7:40" x14ac:dyDescent="0.3"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4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spans="7:40" x14ac:dyDescent="0.3"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4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spans="7:40" x14ac:dyDescent="0.3"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4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spans="7:40" x14ac:dyDescent="0.3"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4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spans="7:40" x14ac:dyDescent="0.3"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4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spans="7:40" x14ac:dyDescent="0.3"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47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spans="7:40" x14ac:dyDescent="0.3"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47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spans="7:40" x14ac:dyDescent="0.3"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47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spans="7:40" x14ac:dyDescent="0.3"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spans="7:40" x14ac:dyDescent="0.3"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spans="7:40" x14ac:dyDescent="0.3"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spans="7:40" x14ac:dyDescent="0.3"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spans="7:40" x14ac:dyDescent="0.3"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spans="7:40" x14ac:dyDescent="0.3"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spans="7:40" x14ac:dyDescent="0.3"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48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spans="7:40" x14ac:dyDescent="0.3"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spans="7:40" x14ac:dyDescent="0.3"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spans="7:40" x14ac:dyDescent="0.3"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spans="7:40" x14ac:dyDescent="0.3"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spans="7:40" x14ac:dyDescent="0.3"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spans="7:40" x14ac:dyDescent="0.3"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spans="7:40" x14ac:dyDescent="0.3"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spans="7:40" x14ac:dyDescent="0.3"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spans="7:40" x14ac:dyDescent="0.3"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spans="7:40" x14ac:dyDescent="0.3"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spans="7:40" x14ac:dyDescent="0.3"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spans="7:40" x14ac:dyDescent="0.3"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spans="7:40" x14ac:dyDescent="0.3"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spans="7:40" x14ac:dyDescent="0.3"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spans="7:40" x14ac:dyDescent="0.3"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spans="7:40" x14ac:dyDescent="0.3"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spans="7:40" x14ac:dyDescent="0.3"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spans="7:40" x14ac:dyDescent="0.3"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spans="7:40" x14ac:dyDescent="0.3"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spans="7:40" x14ac:dyDescent="0.3"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spans="7:40" x14ac:dyDescent="0.3"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spans="7:40" x14ac:dyDescent="0.3"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spans="7:40" x14ac:dyDescent="0.3"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spans="7:40" x14ac:dyDescent="0.3"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spans="7:40" x14ac:dyDescent="0.3"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spans="7:40" x14ac:dyDescent="0.3"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spans="7:40" x14ac:dyDescent="0.3"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spans="7:40" x14ac:dyDescent="0.3"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spans="7:40" x14ac:dyDescent="0.3"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spans="7:40" x14ac:dyDescent="0.3"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spans="7:40" x14ac:dyDescent="0.3"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spans="7:40" x14ac:dyDescent="0.3"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spans="7:40" x14ac:dyDescent="0.3"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spans="7:40" x14ac:dyDescent="0.3"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spans="7:40" x14ac:dyDescent="0.3"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spans="7:40" x14ac:dyDescent="0.3"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spans="7:40" x14ac:dyDescent="0.3"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spans="7:40" x14ac:dyDescent="0.3"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spans="7:40" x14ac:dyDescent="0.3"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spans="7:40" x14ac:dyDescent="0.3"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spans="7:40" x14ac:dyDescent="0.3"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spans="7:40" x14ac:dyDescent="0.3"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spans="7:40" x14ac:dyDescent="0.3"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spans="7:40" x14ac:dyDescent="0.3"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spans="7:40" x14ac:dyDescent="0.3"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spans="7:40" x14ac:dyDescent="0.3"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spans="7:40" x14ac:dyDescent="0.3"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spans="7:40" x14ac:dyDescent="0.3"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spans="7:40" x14ac:dyDescent="0.3"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spans="7:40" x14ac:dyDescent="0.3"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spans="7:40" x14ac:dyDescent="0.3"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spans="7:40" x14ac:dyDescent="0.3"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spans="7:40" x14ac:dyDescent="0.3"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BF9F-4F94-5445-89E2-2873D79AEF49}">
  <dimension ref="A1:U53"/>
  <sheetViews>
    <sheetView workbookViewId="0">
      <selection activeCell="N28" sqref="N28:N29"/>
    </sheetView>
  </sheetViews>
  <sheetFormatPr defaultColWidth="11.19921875" defaultRowHeight="15.6" x14ac:dyDescent="0.3"/>
  <cols>
    <col min="1" max="1" width="7.19921875" bestFit="1" customWidth="1"/>
    <col min="2" max="2" width="18.296875" bestFit="1" customWidth="1"/>
    <col min="3" max="3" width="13.5" bestFit="1" customWidth="1"/>
    <col min="4" max="4" width="17" bestFit="1" customWidth="1"/>
  </cols>
  <sheetData>
    <row r="1" spans="1:14" x14ac:dyDescent="0.3">
      <c r="B1" t="s">
        <v>83</v>
      </c>
      <c r="C1" t="s">
        <v>84</v>
      </c>
      <c r="D1" t="s">
        <v>85</v>
      </c>
    </row>
    <row r="2" spans="1:14" x14ac:dyDescent="0.3">
      <c r="A2">
        <v>2009</v>
      </c>
      <c r="B2" s="28">
        <v>100</v>
      </c>
      <c r="C2" s="28">
        <v>100.0825</v>
      </c>
      <c r="D2" s="19">
        <f>B2-C2</f>
        <v>-8.2499999999996021E-2</v>
      </c>
    </row>
    <row r="3" spans="1:14" x14ac:dyDescent="0.3">
      <c r="A3">
        <v>2010</v>
      </c>
      <c r="B3" s="28">
        <v>106.43783740000001</v>
      </c>
      <c r="C3" s="28">
        <v>101.06100000000001</v>
      </c>
      <c r="D3" s="19">
        <f>B3-C3</f>
        <v>5.3768373999999994</v>
      </c>
    </row>
    <row r="4" spans="1:14" x14ac:dyDescent="0.3">
      <c r="A4">
        <v>2011</v>
      </c>
      <c r="B4" s="28">
        <v>104.52058959999999</v>
      </c>
      <c r="C4" s="28">
        <v>102.0395</v>
      </c>
      <c r="D4" s="19">
        <f>B4-C4</f>
        <v>2.48108959999999</v>
      </c>
    </row>
    <row r="5" spans="1:14" x14ac:dyDescent="0.3">
      <c r="A5">
        <v>2012</v>
      </c>
      <c r="B5" s="28">
        <v>94.044221789999995</v>
      </c>
      <c r="C5" s="28">
        <v>103.018</v>
      </c>
      <c r="D5" s="19">
        <f>B5-C5</f>
        <v>-8.9737782100000061</v>
      </c>
    </row>
    <row r="6" spans="1:14" x14ac:dyDescent="0.3">
      <c r="A6">
        <v>2013</v>
      </c>
      <c r="B6" s="28">
        <v>105.776672</v>
      </c>
      <c r="C6" s="28">
        <v>103.9965</v>
      </c>
      <c r="D6" s="19">
        <f>B6-C6</f>
        <v>1.7801720000000074</v>
      </c>
    </row>
    <row r="7" spans="1:14" x14ac:dyDescent="0.3">
      <c r="A7">
        <v>2014</v>
      </c>
      <c r="B7" s="28">
        <v>104.31317749999999</v>
      </c>
      <c r="C7" s="28">
        <v>104.97499999999999</v>
      </c>
      <c r="D7" s="19">
        <f t="shared" ref="D7:D17" si="0">B7-C7</f>
        <v>-0.66182249999999954</v>
      </c>
    </row>
    <row r="8" spans="1:14" x14ac:dyDescent="0.3">
      <c r="A8">
        <v>2015</v>
      </c>
      <c r="B8" s="28">
        <v>102.90288839999999</v>
      </c>
      <c r="C8" s="28">
        <v>105.95350000000001</v>
      </c>
      <c r="D8" s="19">
        <f t="shared" si="0"/>
        <v>-3.0506116000000105</v>
      </c>
    </row>
    <row r="9" spans="1:14" x14ac:dyDescent="0.3">
      <c r="A9">
        <v>2016</v>
      </c>
      <c r="B9" s="28">
        <v>108.92478730000001</v>
      </c>
      <c r="C9" s="28">
        <v>106.932</v>
      </c>
      <c r="D9" s="19">
        <f t="shared" si="0"/>
        <v>1.9927873000000034</v>
      </c>
    </row>
    <row r="10" spans="1:14" x14ac:dyDescent="0.3">
      <c r="A10">
        <v>2017</v>
      </c>
      <c r="B10" s="28">
        <v>109.8765932</v>
      </c>
      <c r="C10" s="28">
        <v>107.9105</v>
      </c>
      <c r="D10" s="19">
        <f t="shared" si="0"/>
        <v>1.9660932000000031</v>
      </c>
      <c r="H10" t="s">
        <v>0</v>
      </c>
      <c r="I10" t="s">
        <v>86</v>
      </c>
      <c r="J10" t="s">
        <v>85</v>
      </c>
      <c r="K10" t="s">
        <v>87</v>
      </c>
    </row>
    <row r="11" spans="1:14" x14ac:dyDescent="0.3">
      <c r="A11">
        <v>2018</v>
      </c>
      <c r="B11" s="28">
        <v>106.87480770000001</v>
      </c>
      <c r="C11" s="28">
        <v>108.889</v>
      </c>
      <c r="D11" s="19">
        <f t="shared" si="0"/>
        <v>-2.0141922999999906</v>
      </c>
      <c r="H11">
        <v>2009</v>
      </c>
      <c r="I11">
        <f>E37</f>
        <v>108.11400932127052</v>
      </c>
      <c r="J11" s="91">
        <f>D2</f>
        <v>-8.2499999999996021E-2</v>
      </c>
      <c r="K11">
        <f t="shared" ref="K11:K27" si="1">$N$28+(I11*$N$29)</f>
        <v>3.7286082084815462</v>
      </c>
    </row>
    <row r="12" spans="1:14" x14ac:dyDescent="0.3">
      <c r="A12">
        <v>2019</v>
      </c>
      <c r="B12" s="28">
        <v>103.22426830000001</v>
      </c>
      <c r="C12" s="28">
        <v>109.86750000000001</v>
      </c>
      <c r="D12" s="19">
        <f t="shared" si="0"/>
        <v>-6.6432317000000012</v>
      </c>
      <c r="H12">
        <v>2010</v>
      </c>
      <c r="I12">
        <f t="shared" ref="I12:I27" si="2">E38</f>
        <v>105.97622187792105</v>
      </c>
      <c r="J12" s="91">
        <f t="shared" ref="J12:J27" si="3">D3</f>
        <v>5.3768373999999994</v>
      </c>
      <c r="K12">
        <f t="shared" si="1"/>
        <v>2.6860640028559928</v>
      </c>
      <c r="M12" t="s">
        <v>88</v>
      </c>
    </row>
    <row r="13" spans="1:14" ht="16.2" thickBot="1" x14ac:dyDescent="0.35">
      <c r="A13">
        <v>2020</v>
      </c>
      <c r="B13" s="28">
        <v>114.9665195</v>
      </c>
      <c r="C13" s="28">
        <v>110.846</v>
      </c>
      <c r="D13" s="19">
        <f t="shared" si="0"/>
        <v>4.1205195000000003</v>
      </c>
      <c r="H13">
        <v>2011</v>
      </c>
      <c r="I13">
        <f t="shared" si="2"/>
        <v>99.584458822790381</v>
      </c>
      <c r="J13" s="91">
        <f t="shared" si="3"/>
        <v>2.48108959999999</v>
      </c>
      <c r="K13">
        <f t="shared" si="1"/>
        <v>-0.43103520061641376</v>
      </c>
    </row>
    <row r="14" spans="1:14" x14ac:dyDescent="0.3">
      <c r="A14">
        <v>2021</v>
      </c>
      <c r="B14" s="28">
        <v>119.9815751</v>
      </c>
      <c r="C14" s="28">
        <v>111.8245</v>
      </c>
      <c r="D14" s="19">
        <f t="shared" si="0"/>
        <v>8.1570751000000001</v>
      </c>
      <c r="H14">
        <v>2012</v>
      </c>
      <c r="I14">
        <f t="shared" si="2"/>
        <v>86.788625405398733</v>
      </c>
      <c r="J14" s="91">
        <f t="shared" si="3"/>
        <v>-8.9737782100000061</v>
      </c>
      <c r="K14">
        <f t="shared" si="1"/>
        <v>-6.6712355661635669</v>
      </c>
      <c r="M14" s="92" t="s">
        <v>89</v>
      </c>
      <c r="N14" s="92"/>
    </row>
    <row r="15" spans="1:14" x14ac:dyDescent="0.3">
      <c r="A15">
        <v>2022</v>
      </c>
      <c r="B15" s="28">
        <v>110.2601487</v>
      </c>
      <c r="C15" s="28">
        <v>112.803</v>
      </c>
      <c r="D15" s="19">
        <f t="shared" si="0"/>
        <v>-2.5428512999999953</v>
      </c>
      <c r="H15">
        <v>2013</v>
      </c>
      <c r="I15">
        <f t="shared" si="2"/>
        <v>103.45921468440871</v>
      </c>
      <c r="J15" s="91">
        <f t="shared" si="3"/>
        <v>1.7801720000000074</v>
      </c>
      <c r="K15">
        <f t="shared" si="1"/>
        <v>1.4585840336581626</v>
      </c>
      <c r="M15" t="s">
        <v>90</v>
      </c>
      <c r="N15">
        <v>0.64521277568666224</v>
      </c>
    </row>
    <row r="16" spans="1:14" x14ac:dyDescent="0.3">
      <c r="A16">
        <v>2023</v>
      </c>
      <c r="B16" s="28">
        <v>112.14638189999999</v>
      </c>
      <c r="C16" s="28">
        <v>113.78149999999999</v>
      </c>
      <c r="D16" s="19">
        <f t="shared" si="0"/>
        <v>-1.6351180999999997</v>
      </c>
      <c r="H16">
        <v>2014</v>
      </c>
      <c r="I16">
        <f t="shared" si="2"/>
        <v>103.83581681313846</v>
      </c>
      <c r="J16" s="91">
        <f t="shared" si="3"/>
        <v>-0.66182249999999954</v>
      </c>
      <c r="K16">
        <f t="shared" si="1"/>
        <v>1.6422432502724646</v>
      </c>
      <c r="M16" t="s">
        <v>91</v>
      </c>
      <c r="N16">
        <v>0.41629952590928715</v>
      </c>
    </row>
    <row r="17" spans="1:21" x14ac:dyDescent="0.3">
      <c r="A17">
        <v>2024</v>
      </c>
      <c r="B17" s="28">
        <v>111.71476730000001</v>
      </c>
      <c r="C17" s="28">
        <v>114.76</v>
      </c>
      <c r="D17" s="19">
        <f t="shared" si="0"/>
        <v>-3.0452326999999997</v>
      </c>
      <c r="H17">
        <v>2015</v>
      </c>
      <c r="I17">
        <f t="shared" si="2"/>
        <v>101.38017455922044</v>
      </c>
      <c r="J17" s="91">
        <f t="shared" si="3"/>
        <v>-3.0506116000000105</v>
      </c>
      <c r="K17">
        <f t="shared" si="1"/>
        <v>0.4446893910822638</v>
      </c>
      <c r="M17" t="s">
        <v>92</v>
      </c>
      <c r="N17">
        <v>0.37738616096990629</v>
      </c>
    </row>
    <row r="18" spans="1:21" x14ac:dyDescent="0.3">
      <c r="A18">
        <v>2025</v>
      </c>
      <c r="B18" s="28">
        <v>118.5116288</v>
      </c>
      <c r="C18" s="28">
        <v>115.7385</v>
      </c>
      <c r="D18" s="19">
        <f>B18-C18</f>
        <v>2.773128799999995</v>
      </c>
      <c r="H18">
        <v>2016</v>
      </c>
      <c r="I18">
        <f t="shared" si="2"/>
        <v>106.82034793592467</v>
      </c>
      <c r="J18" s="91">
        <f t="shared" si="3"/>
        <v>1.9927873000000034</v>
      </c>
      <c r="K18">
        <f t="shared" si="1"/>
        <v>3.0977226704784329</v>
      </c>
      <c r="M18" t="s">
        <v>93</v>
      </c>
      <c r="N18">
        <v>3.3833117624285913</v>
      </c>
    </row>
    <row r="19" spans="1:21" ht="16.2" thickBot="1" x14ac:dyDescent="0.35">
      <c r="H19">
        <v>2017</v>
      </c>
      <c r="I19">
        <f t="shared" si="2"/>
        <v>106.08610004176873</v>
      </c>
      <c r="J19" s="91">
        <f t="shared" si="3"/>
        <v>1.9660932000000031</v>
      </c>
      <c r="K19">
        <f t="shared" si="1"/>
        <v>2.7396487703222547</v>
      </c>
      <c r="M19" s="30" t="s">
        <v>94</v>
      </c>
      <c r="N19" s="30">
        <v>17</v>
      </c>
    </row>
    <row r="20" spans="1:21" x14ac:dyDescent="0.3">
      <c r="H20">
        <v>2018</v>
      </c>
      <c r="I20">
        <f t="shared" si="2"/>
        <v>100.47651558042206</v>
      </c>
      <c r="J20" s="91">
        <f t="shared" si="3"/>
        <v>-2.0141922999999906</v>
      </c>
      <c r="K20">
        <f t="shared" si="1"/>
        <v>3.9980421183685166E-3</v>
      </c>
    </row>
    <row r="21" spans="1:21" ht="16.2" thickBot="1" x14ac:dyDescent="0.35">
      <c r="H21">
        <v>2019</v>
      </c>
      <c r="I21">
        <f t="shared" si="2"/>
        <v>95.989528166937831</v>
      </c>
      <c r="J21" s="91">
        <f t="shared" si="3"/>
        <v>-6.6432317000000012</v>
      </c>
      <c r="K21">
        <f t="shared" si="1"/>
        <v>-2.1841908459749604</v>
      </c>
      <c r="M21" t="s">
        <v>95</v>
      </c>
    </row>
    <row r="22" spans="1:21" x14ac:dyDescent="0.3">
      <c r="H22">
        <v>2020</v>
      </c>
      <c r="I22">
        <f t="shared" si="2"/>
        <v>101.52615576350763</v>
      </c>
      <c r="J22" s="91">
        <f t="shared" si="3"/>
        <v>4.1205195000000003</v>
      </c>
      <c r="K22">
        <f t="shared" si="1"/>
        <v>0.51588068708005608</v>
      </c>
      <c r="M22" s="93"/>
      <c r="N22" s="93" t="s">
        <v>96</v>
      </c>
      <c r="O22" s="93" t="s">
        <v>97</v>
      </c>
      <c r="P22" s="93" t="s">
        <v>98</v>
      </c>
      <c r="Q22" s="93" t="s">
        <v>99</v>
      </c>
      <c r="R22" s="93" t="s">
        <v>100</v>
      </c>
    </row>
    <row r="23" spans="1:21" x14ac:dyDescent="0.3">
      <c r="H23">
        <v>2021</v>
      </c>
      <c r="I23">
        <f t="shared" si="2"/>
        <v>100.04414485857785</v>
      </c>
      <c r="J23" s="91">
        <f t="shared" si="3"/>
        <v>8.1570751000000001</v>
      </c>
      <c r="K23">
        <f t="shared" si="1"/>
        <v>-0.2068580896000185</v>
      </c>
      <c r="M23" t="s">
        <v>101</v>
      </c>
      <c r="N23">
        <v>1</v>
      </c>
      <c r="O23">
        <v>122.45912910823102</v>
      </c>
      <c r="P23">
        <v>122.45912910823102</v>
      </c>
      <c r="Q23">
        <v>10.698111729936425</v>
      </c>
      <c r="R23">
        <v>5.1586859689046376E-3</v>
      </c>
    </row>
    <row r="24" spans="1:21" x14ac:dyDescent="0.3">
      <c r="H24">
        <v>2022</v>
      </c>
      <c r="I24">
        <f t="shared" si="2"/>
        <v>90.593871327011755</v>
      </c>
      <c r="J24" s="91">
        <f t="shared" si="3"/>
        <v>-2.5428512999999953</v>
      </c>
      <c r="K24">
        <f t="shared" si="1"/>
        <v>-4.8155145500730967</v>
      </c>
      <c r="M24" t="s">
        <v>102</v>
      </c>
      <c r="N24">
        <v>15</v>
      </c>
      <c r="O24">
        <v>171.7019772268149</v>
      </c>
      <c r="P24">
        <v>11.44679848178766</v>
      </c>
    </row>
    <row r="25" spans="1:21" ht="16.2" thickBot="1" x14ac:dyDescent="0.35">
      <c r="H25">
        <v>2023</v>
      </c>
      <c r="I25">
        <f t="shared" si="2"/>
        <v>97.402916850293636</v>
      </c>
      <c r="J25" s="91">
        <f t="shared" si="3"/>
        <v>-1.6351180999999997</v>
      </c>
      <c r="K25">
        <f t="shared" si="1"/>
        <v>-1.4949173699269309</v>
      </c>
      <c r="M25" s="30" t="s">
        <v>103</v>
      </c>
      <c r="N25" s="30">
        <v>16</v>
      </c>
      <c r="O25" s="30">
        <v>294.16110633504593</v>
      </c>
      <c r="P25" s="30"/>
      <c r="Q25" s="30"/>
      <c r="R25" s="30"/>
    </row>
    <row r="26" spans="1:21" ht="16.2" thickBot="1" x14ac:dyDescent="0.35">
      <c r="H26">
        <v>2024</v>
      </c>
      <c r="I26">
        <f t="shared" si="2"/>
        <v>97.080065408957395</v>
      </c>
      <c r="J26" s="91">
        <f t="shared" si="3"/>
        <v>-3.0452326999999997</v>
      </c>
      <c r="K26">
        <f t="shared" si="1"/>
        <v>-1.6523637523958996</v>
      </c>
    </row>
    <row r="27" spans="1:21" x14ac:dyDescent="0.3">
      <c r="B27" s="3" t="s">
        <v>8</v>
      </c>
      <c r="E27" t="s">
        <v>86</v>
      </c>
      <c r="H27">
        <v>2025</v>
      </c>
      <c r="I27">
        <f t="shared" si="2"/>
        <v>102.79987471039207</v>
      </c>
      <c r="J27" s="91">
        <f t="shared" si="3"/>
        <v>2.773128799999995</v>
      </c>
      <c r="K27">
        <f t="shared" si="1"/>
        <v>1.1370408084012382</v>
      </c>
      <c r="M27" s="93"/>
      <c r="N27" s="93" t="s">
        <v>104</v>
      </c>
      <c r="O27" s="93" t="s">
        <v>93</v>
      </c>
      <c r="P27" s="93" t="s">
        <v>105</v>
      </c>
      <c r="Q27" s="93" t="s">
        <v>106</v>
      </c>
      <c r="R27" s="93" t="s">
        <v>107</v>
      </c>
      <c r="S27" s="93" t="s">
        <v>108</v>
      </c>
      <c r="T27" s="93" t="s">
        <v>109</v>
      </c>
      <c r="U27" s="93" t="s">
        <v>110</v>
      </c>
    </row>
    <row r="28" spans="1:21" x14ac:dyDescent="0.3">
      <c r="A28">
        <v>2000</v>
      </c>
      <c r="B28" s="3">
        <v>247415</v>
      </c>
      <c r="C28">
        <f>(A28-1999)*5992+246476</f>
        <v>252468</v>
      </c>
      <c r="D28">
        <f>B28-C28</f>
        <v>-5053</v>
      </c>
      <c r="E28">
        <f>((D28/C28)*100)+100</f>
        <v>97.998558233122608</v>
      </c>
      <c r="M28" t="s">
        <v>111</v>
      </c>
      <c r="N28">
        <v>-48.995826260194441</v>
      </c>
      <c r="O28">
        <v>15.002211761378932</v>
      </c>
      <c r="P28">
        <v>-3.2659068569027436</v>
      </c>
      <c r="Q28">
        <v>5.2106491377028772E-3</v>
      </c>
      <c r="R28">
        <v>-80.972283701377066</v>
      </c>
      <c r="S28">
        <v>-17.019368819011817</v>
      </c>
      <c r="T28">
        <v>-80.972283701377066</v>
      </c>
      <c r="U28">
        <v>-17.019368819011817</v>
      </c>
    </row>
    <row r="29" spans="1:21" ht="16.2" thickBot="1" x14ac:dyDescent="0.35">
      <c r="A29">
        <v>2001</v>
      </c>
      <c r="B29" s="3">
        <v>249324</v>
      </c>
      <c r="C29">
        <f t="shared" ref="C29:C53" si="4">(A29-1999)*5992+246476</f>
        <v>258460</v>
      </c>
      <c r="D29">
        <f t="shared" ref="D29:D53" si="5">B29-C29</f>
        <v>-9136</v>
      </c>
      <c r="E29">
        <f t="shared" ref="E29:E53" si="6">((D29/C29)*100)+100</f>
        <v>96.465217054863416</v>
      </c>
      <c r="M29" t="s">
        <v>86</v>
      </c>
      <c r="N29" s="30">
        <v>0.4876743985323917</v>
      </c>
      <c r="O29" s="30">
        <v>0.14909957047992425</v>
      </c>
      <c r="P29" s="30">
        <v>3.2707968035230213</v>
      </c>
      <c r="Q29" s="30">
        <v>5.1586859689046523E-3</v>
      </c>
      <c r="R29" s="30">
        <v>0.16987618678979963</v>
      </c>
      <c r="S29" s="30">
        <v>0.80547261027498374</v>
      </c>
      <c r="T29" s="30">
        <v>0.16987618678979963</v>
      </c>
      <c r="U29" s="30">
        <v>0.80547261027498374</v>
      </c>
    </row>
    <row r="30" spans="1:21" x14ac:dyDescent="0.3">
      <c r="A30">
        <v>2002</v>
      </c>
      <c r="B30" s="3">
        <v>241082</v>
      </c>
      <c r="C30">
        <f t="shared" si="4"/>
        <v>264452</v>
      </c>
      <c r="D30">
        <f t="shared" si="5"/>
        <v>-23370</v>
      </c>
      <c r="E30">
        <f t="shared" si="6"/>
        <v>91.16285753180162</v>
      </c>
    </row>
    <row r="31" spans="1:21" x14ac:dyDescent="0.3">
      <c r="A31">
        <v>2003</v>
      </c>
      <c r="B31" s="3">
        <v>259853</v>
      </c>
      <c r="C31">
        <f t="shared" si="4"/>
        <v>270444</v>
      </c>
      <c r="D31">
        <f t="shared" si="5"/>
        <v>-10591</v>
      </c>
      <c r="E31">
        <f t="shared" si="6"/>
        <v>96.083847302953657</v>
      </c>
    </row>
    <row r="32" spans="1:21" ht="16.2" thickBot="1" x14ac:dyDescent="0.35">
      <c r="A32">
        <v>2004</v>
      </c>
      <c r="B32" s="3">
        <v>270791</v>
      </c>
      <c r="C32">
        <f t="shared" si="4"/>
        <v>276436</v>
      </c>
      <c r="D32">
        <f t="shared" si="5"/>
        <v>-5645</v>
      </c>
      <c r="E32">
        <f t="shared" si="6"/>
        <v>97.957936014122623</v>
      </c>
    </row>
    <row r="33" spans="1:21" x14ac:dyDescent="0.3">
      <c r="A33">
        <v>2005</v>
      </c>
      <c r="B33" s="3">
        <v>286216</v>
      </c>
      <c r="C33">
        <f t="shared" si="4"/>
        <v>282428</v>
      </c>
      <c r="D33">
        <f t="shared" si="5"/>
        <v>3788</v>
      </c>
      <c r="E33">
        <f t="shared" si="6"/>
        <v>101.34122679054485</v>
      </c>
      <c r="M33" s="92"/>
      <c r="N33" s="92"/>
    </row>
    <row r="34" spans="1:21" x14ac:dyDescent="0.3">
      <c r="A34">
        <v>2006</v>
      </c>
      <c r="B34" s="3">
        <v>284661</v>
      </c>
      <c r="C34">
        <f t="shared" si="4"/>
        <v>288420</v>
      </c>
      <c r="D34">
        <f t="shared" si="5"/>
        <v>-3759</v>
      </c>
      <c r="E34">
        <f t="shared" si="6"/>
        <v>98.696692323694606</v>
      </c>
    </row>
    <row r="35" spans="1:21" x14ac:dyDescent="0.3">
      <c r="A35">
        <v>2007</v>
      </c>
      <c r="B35" s="3">
        <v>323545</v>
      </c>
      <c r="C35">
        <f t="shared" si="4"/>
        <v>294412</v>
      </c>
      <c r="D35">
        <f t="shared" si="5"/>
        <v>29133</v>
      </c>
      <c r="E35">
        <f t="shared" si="6"/>
        <v>109.8953167669796</v>
      </c>
    </row>
    <row r="36" spans="1:21" x14ac:dyDescent="0.3">
      <c r="A36">
        <v>2008</v>
      </c>
      <c r="B36" s="3">
        <v>305006</v>
      </c>
      <c r="C36">
        <f t="shared" si="4"/>
        <v>300404</v>
      </c>
      <c r="D36">
        <f t="shared" si="5"/>
        <v>4602</v>
      </c>
      <c r="E36">
        <f t="shared" si="6"/>
        <v>101.53193699151809</v>
      </c>
    </row>
    <row r="37" spans="1:21" x14ac:dyDescent="0.3">
      <c r="A37">
        <v>2009</v>
      </c>
      <c r="B37" s="3">
        <v>331257</v>
      </c>
      <c r="C37">
        <f t="shared" si="4"/>
        <v>306396</v>
      </c>
      <c r="D37">
        <f t="shared" si="5"/>
        <v>24861</v>
      </c>
      <c r="E37">
        <f t="shared" si="6"/>
        <v>108.11400932127052</v>
      </c>
    </row>
    <row r="38" spans="1:21" ht="16.2" thickBot="1" x14ac:dyDescent="0.35">
      <c r="A38">
        <v>2010</v>
      </c>
      <c r="B38" s="3">
        <v>331057</v>
      </c>
      <c r="C38">
        <f t="shared" si="4"/>
        <v>312388</v>
      </c>
      <c r="D38">
        <f t="shared" si="5"/>
        <v>18669</v>
      </c>
      <c r="E38">
        <f t="shared" si="6"/>
        <v>105.97622187792105</v>
      </c>
      <c r="M38" s="30"/>
      <c r="N38" s="30"/>
    </row>
    <row r="39" spans="1:21" x14ac:dyDescent="0.3">
      <c r="A39">
        <v>2011</v>
      </c>
      <c r="B39" s="3">
        <v>317057</v>
      </c>
      <c r="C39">
        <f t="shared" si="4"/>
        <v>318380</v>
      </c>
      <c r="D39">
        <f t="shared" si="5"/>
        <v>-1323</v>
      </c>
      <c r="E39">
        <f t="shared" si="6"/>
        <v>99.584458822790381</v>
      </c>
    </row>
    <row r="40" spans="1:21" ht="16.2" thickBot="1" x14ac:dyDescent="0.35">
      <c r="A40">
        <v>2012</v>
      </c>
      <c r="B40" s="3">
        <v>281518</v>
      </c>
      <c r="C40">
        <f t="shared" si="4"/>
        <v>324372</v>
      </c>
      <c r="D40">
        <f t="shared" si="5"/>
        <v>-42854</v>
      </c>
      <c r="E40">
        <f t="shared" si="6"/>
        <v>86.788625405398733</v>
      </c>
    </row>
    <row r="41" spans="1:21" x14ac:dyDescent="0.3">
      <c r="A41">
        <v>2013</v>
      </c>
      <c r="B41" s="3">
        <v>341792</v>
      </c>
      <c r="C41">
        <f t="shared" si="4"/>
        <v>330364</v>
      </c>
      <c r="D41">
        <f t="shared" si="5"/>
        <v>11428</v>
      </c>
      <c r="E41">
        <f t="shared" si="6"/>
        <v>103.45921468440871</v>
      </c>
      <c r="M41" s="93"/>
      <c r="N41" s="93"/>
      <c r="O41" s="93"/>
      <c r="P41" s="93"/>
      <c r="Q41" s="93"/>
      <c r="R41" s="93"/>
    </row>
    <row r="42" spans="1:21" x14ac:dyDescent="0.3">
      <c r="A42">
        <v>2014</v>
      </c>
      <c r="B42" s="3">
        <v>349258</v>
      </c>
      <c r="C42">
        <f t="shared" si="4"/>
        <v>336356</v>
      </c>
      <c r="D42">
        <f t="shared" si="5"/>
        <v>12902</v>
      </c>
      <c r="E42">
        <f t="shared" si="6"/>
        <v>103.83581681313846</v>
      </c>
    </row>
    <row r="43" spans="1:21" x14ac:dyDescent="0.3">
      <c r="A43">
        <v>2015</v>
      </c>
      <c r="B43" s="3">
        <v>347073</v>
      </c>
      <c r="C43">
        <f t="shared" si="4"/>
        <v>342348</v>
      </c>
      <c r="D43">
        <f t="shared" si="5"/>
        <v>4725</v>
      </c>
      <c r="E43">
        <f t="shared" si="6"/>
        <v>101.38017455922044</v>
      </c>
    </row>
    <row r="44" spans="1:21" ht="16.2" thickBot="1" x14ac:dyDescent="0.35">
      <c r="A44">
        <v>2016</v>
      </c>
      <c r="B44" s="3">
        <v>372098</v>
      </c>
      <c r="C44">
        <f t="shared" si="4"/>
        <v>348340</v>
      </c>
      <c r="D44">
        <f t="shared" si="5"/>
        <v>23758</v>
      </c>
      <c r="E44">
        <f t="shared" si="6"/>
        <v>106.82034793592467</v>
      </c>
      <c r="M44" s="30"/>
      <c r="N44" s="30"/>
      <c r="O44" s="30"/>
      <c r="P44" s="30"/>
      <c r="Q44" s="30"/>
      <c r="R44" s="30"/>
    </row>
    <row r="45" spans="1:21" ht="16.2" thickBot="1" x14ac:dyDescent="0.35">
      <c r="A45">
        <v>2017</v>
      </c>
      <c r="B45" s="3">
        <v>375897</v>
      </c>
      <c r="C45">
        <f t="shared" si="4"/>
        <v>354332</v>
      </c>
      <c r="D45">
        <f t="shared" si="5"/>
        <v>21565</v>
      </c>
      <c r="E45">
        <f t="shared" si="6"/>
        <v>106.08610004176873</v>
      </c>
    </row>
    <row r="46" spans="1:21" x14ac:dyDescent="0.3">
      <c r="A46">
        <v>2018</v>
      </c>
      <c r="B46" s="3">
        <v>362041</v>
      </c>
      <c r="C46">
        <f t="shared" si="4"/>
        <v>360324</v>
      </c>
      <c r="D46">
        <f t="shared" si="5"/>
        <v>1717</v>
      </c>
      <c r="E46">
        <f t="shared" si="6"/>
        <v>100.47651558042206</v>
      </c>
      <c r="M46" s="93"/>
      <c r="N46" s="93"/>
      <c r="O46" s="93"/>
      <c r="P46" s="93"/>
      <c r="Q46" s="93"/>
      <c r="R46" s="93"/>
      <c r="S46" s="93"/>
      <c r="T46" s="93"/>
      <c r="U46" s="93"/>
    </row>
    <row r="47" spans="1:21" x14ac:dyDescent="0.3">
      <c r="A47">
        <v>2019</v>
      </c>
      <c r="B47" s="3">
        <v>351625</v>
      </c>
      <c r="C47">
        <f t="shared" si="4"/>
        <v>366316</v>
      </c>
      <c r="D47">
        <f t="shared" si="5"/>
        <v>-14691</v>
      </c>
      <c r="E47">
        <f t="shared" si="6"/>
        <v>95.989528166937831</v>
      </c>
    </row>
    <row r="48" spans="1:21" ht="16.2" thickBot="1" x14ac:dyDescent="0.35">
      <c r="A48">
        <v>2020</v>
      </c>
      <c r="B48" s="3">
        <v>377990</v>
      </c>
      <c r="C48">
        <f t="shared" si="4"/>
        <v>372308</v>
      </c>
      <c r="D48">
        <f t="shared" si="5"/>
        <v>5682</v>
      </c>
      <c r="E48">
        <f t="shared" si="6"/>
        <v>101.52615576350763</v>
      </c>
      <c r="M48" s="30"/>
      <c r="N48" s="30"/>
      <c r="O48" s="30"/>
      <c r="P48" s="30"/>
      <c r="Q48" s="30"/>
      <c r="R48" s="30"/>
      <c r="S48" s="30"/>
      <c r="T48" s="30"/>
      <c r="U48" s="30"/>
    </row>
    <row r="49" spans="1:5" x14ac:dyDescent="0.3">
      <c r="A49">
        <v>2021</v>
      </c>
      <c r="B49" s="3">
        <v>378467</v>
      </c>
      <c r="C49">
        <f t="shared" si="4"/>
        <v>378300</v>
      </c>
      <c r="D49">
        <f t="shared" si="5"/>
        <v>167</v>
      </c>
      <c r="E49">
        <f t="shared" si="6"/>
        <v>100.04414485857785</v>
      </c>
    </row>
    <row r="50" spans="1:5" x14ac:dyDescent="0.3">
      <c r="A50">
        <v>2022</v>
      </c>
      <c r="B50" s="3">
        <v>348145</v>
      </c>
      <c r="C50">
        <f t="shared" si="4"/>
        <v>384292</v>
      </c>
      <c r="D50">
        <f t="shared" si="5"/>
        <v>-36147</v>
      </c>
      <c r="E50">
        <f t="shared" si="6"/>
        <v>90.593871327011755</v>
      </c>
    </row>
    <row r="51" spans="1:5" x14ac:dyDescent="0.3">
      <c r="A51">
        <v>2023</v>
      </c>
      <c r="B51" s="3">
        <v>380148</v>
      </c>
      <c r="C51">
        <f t="shared" si="4"/>
        <v>390284</v>
      </c>
      <c r="D51">
        <f t="shared" si="5"/>
        <v>-10136</v>
      </c>
      <c r="E51">
        <f t="shared" si="6"/>
        <v>97.402916850293636</v>
      </c>
    </row>
    <row r="52" spans="1:5" x14ac:dyDescent="0.3">
      <c r="A52">
        <v>2024</v>
      </c>
      <c r="B52" s="3">
        <v>384705</v>
      </c>
      <c r="C52">
        <f t="shared" si="4"/>
        <v>396276</v>
      </c>
      <c r="D52">
        <f t="shared" si="5"/>
        <v>-11571</v>
      </c>
      <c r="E52">
        <f t="shared" si="6"/>
        <v>97.080065408957395</v>
      </c>
    </row>
    <row r="53" spans="1:5" x14ac:dyDescent="0.3">
      <c r="A53">
        <v>2025</v>
      </c>
      <c r="B53" s="3">
        <v>413531</v>
      </c>
      <c r="C53">
        <f t="shared" si="4"/>
        <v>402268</v>
      </c>
      <c r="D53">
        <f t="shared" si="5"/>
        <v>11263</v>
      </c>
      <c r="E53">
        <f t="shared" si="6"/>
        <v>102.79987471039207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8918-42AB-5C41-80F2-C881E760F99D}">
  <dimension ref="A2:BX218"/>
  <sheetViews>
    <sheetView zoomScale="90" zoomScaleNormal="90" workbookViewId="0">
      <selection activeCell="B30" sqref="B30"/>
    </sheetView>
  </sheetViews>
  <sheetFormatPr defaultColWidth="11.19921875" defaultRowHeight="15.6" x14ac:dyDescent="0.3"/>
  <cols>
    <col min="2" max="2" width="12" customWidth="1"/>
    <col min="4" max="4" width="11" bestFit="1" customWidth="1"/>
    <col min="5" max="5" width="15.19921875" customWidth="1"/>
    <col min="6" max="6" width="11" bestFit="1" customWidth="1"/>
    <col min="7" max="7" width="13.69921875" bestFit="1" customWidth="1"/>
    <col min="8" max="8" width="11" bestFit="1" customWidth="1"/>
    <col min="9" max="9" width="15.69921875" bestFit="1" customWidth="1"/>
    <col min="10" max="11" width="11" bestFit="1" customWidth="1"/>
    <col min="12" max="12" width="11" customWidth="1"/>
    <col min="13" max="13" width="12.296875" bestFit="1" customWidth="1"/>
    <col min="15" max="16" width="11" bestFit="1" customWidth="1"/>
    <col min="17" max="17" width="12.296875" bestFit="1" customWidth="1"/>
    <col min="18" max="18" width="13.69921875" bestFit="1" customWidth="1"/>
    <col min="19" max="19" width="11" bestFit="1" customWidth="1"/>
    <col min="20" max="22" width="13.69921875" bestFit="1" customWidth="1"/>
    <col min="23" max="23" width="12.296875" bestFit="1" customWidth="1"/>
  </cols>
  <sheetData>
    <row r="2" spans="1:28" x14ac:dyDescent="0.3">
      <c r="A2" s="6" t="s">
        <v>120</v>
      </c>
      <c r="B2" s="6"/>
      <c r="C2" s="6"/>
      <c r="D2" s="6"/>
      <c r="E2" s="6"/>
      <c r="F2" s="6"/>
      <c r="G2" s="6"/>
      <c r="H2" s="6"/>
      <c r="I2" s="6" t="s">
        <v>121</v>
      </c>
    </row>
    <row r="3" spans="1:28" x14ac:dyDescent="0.3">
      <c r="I3" s="17" t="s">
        <v>122</v>
      </c>
      <c r="U3" t="s">
        <v>112</v>
      </c>
    </row>
    <row r="4" spans="1:28" x14ac:dyDescent="0.3">
      <c r="C4" t="s">
        <v>126</v>
      </c>
      <c r="F4" t="s">
        <v>127</v>
      </c>
      <c r="I4" s="17" t="s">
        <v>123</v>
      </c>
      <c r="U4" t="s">
        <v>113</v>
      </c>
      <c r="V4">
        <f>C145</f>
        <v>115.7385</v>
      </c>
      <c r="X4" t="s">
        <v>117</v>
      </c>
      <c r="Y4">
        <f>'Est. Demand Index'!$C$53</f>
        <v>402268</v>
      </c>
    </row>
    <row r="5" spans="1:28" x14ac:dyDescent="0.3">
      <c r="B5" t="s">
        <v>66</v>
      </c>
      <c r="C5" s="3">
        <v>465065</v>
      </c>
      <c r="E5" t="s">
        <v>69</v>
      </c>
      <c r="F5" s="82">
        <f>((((C$5/(($V6/100)*$R$75))^$O$66)/($W$75/100))*0.0323)+1.8946</f>
        <v>4.1603203785361806</v>
      </c>
      <c r="I5" s="17" t="s">
        <v>124</v>
      </c>
      <c r="U5" t="s">
        <v>115</v>
      </c>
      <c r="V5">
        <f>AB7+(AB8*Y5)</f>
        <v>1.1370408084012382</v>
      </c>
      <c r="X5" t="s">
        <v>118</v>
      </c>
      <c r="Y5" s="54">
        <f>(C6/Y4)*100</f>
        <v>102.79987471039207</v>
      </c>
    </row>
    <row r="6" spans="1:28" x14ac:dyDescent="0.3">
      <c r="B6" t="s">
        <v>114</v>
      </c>
      <c r="C6" s="3">
        <v>413531</v>
      </c>
      <c r="U6" t="s">
        <v>116</v>
      </c>
      <c r="V6">
        <f>V4+V5</f>
        <v>116.87554080840124</v>
      </c>
      <c r="AB6" t="s">
        <v>119</v>
      </c>
    </row>
    <row r="7" spans="1:28" x14ac:dyDescent="0.3">
      <c r="AB7">
        <v>-48.995826260194441</v>
      </c>
    </row>
    <row r="8" spans="1:28" ht="16.2" thickBot="1" x14ac:dyDescent="0.35">
      <c r="AB8" s="30">
        <v>0.4876743985323917</v>
      </c>
    </row>
    <row r="9" spans="1:28" x14ac:dyDescent="0.3">
      <c r="A9" t="s">
        <v>47</v>
      </c>
      <c r="B9" t="s">
        <v>72</v>
      </c>
      <c r="C9" t="s">
        <v>47</v>
      </c>
      <c r="D9" t="s">
        <v>47</v>
      </c>
      <c r="E9" t="s">
        <v>72</v>
      </c>
    </row>
    <row r="16" spans="1:28" s="6" customFormat="1" x14ac:dyDescent="0.3">
      <c r="A16" s="6" t="s">
        <v>125</v>
      </c>
    </row>
    <row r="18" spans="1:9" x14ac:dyDescent="0.3">
      <c r="G18" s="94" t="s">
        <v>127</v>
      </c>
      <c r="H18" s="94"/>
      <c r="I18" s="94"/>
    </row>
    <row r="19" spans="1:9" x14ac:dyDescent="0.3">
      <c r="C19" t="s">
        <v>126</v>
      </c>
      <c r="G19" s="81" t="s">
        <v>78</v>
      </c>
      <c r="H19" s="81" t="s">
        <v>79</v>
      </c>
      <c r="I19" t="s">
        <v>80</v>
      </c>
    </row>
    <row r="20" spans="1:9" x14ac:dyDescent="0.3">
      <c r="B20" t="s">
        <v>66</v>
      </c>
      <c r="C20" s="3">
        <v>465065</v>
      </c>
      <c r="E20" s="81" t="s">
        <v>127</v>
      </c>
      <c r="F20" t="s">
        <v>58</v>
      </c>
      <c r="G20" s="83">
        <f>AVERAGE(X191)</f>
        <v>3.7181196456521133</v>
      </c>
      <c r="H20" s="88" t="str">
        <f>ROUND(MIN(U192:U197),2)&amp;" - "&amp;ROUND(MAX(U191:U197),2)</f>
        <v>3.41 - 3.86</v>
      </c>
      <c r="I20" s="89">
        <f>AA191</f>
        <v>0.41176470588235292</v>
      </c>
    </row>
    <row r="21" spans="1:9" x14ac:dyDescent="0.3">
      <c r="D21" t="s">
        <v>69</v>
      </c>
      <c r="E21" s="82">
        <f>U199</f>
        <v>4.0247464135458255</v>
      </c>
      <c r="F21" t="s">
        <v>67</v>
      </c>
      <c r="G21" s="83">
        <f>X192</f>
        <v>4.1760458119322132</v>
      </c>
      <c r="H21" s="88" t="str">
        <f>ROUND(MIN(U198:U203),2)&amp;" - "&amp;ROUND(MAX(U198:U203),2)</f>
        <v>3.96 - 4.32</v>
      </c>
      <c r="I21" s="89">
        <f>AA192</f>
        <v>0.35294117647058826</v>
      </c>
    </row>
    <row r="22" spans="1:9" x14ac:dyDescent="0.3">
      <c r="F22" t="s">
        <v>68</v>
      </c>
      <c r="G22" s="83">
        <f>X193</f>
        <v>4.6630653609511548</v>
      </c>
      <c r="H22" s="88" t="str">
        <f>ROUND(MIN(U204:U207),2)&amp;" - "&amp;ROUND(MAX(U204:U207),2)</f>
        <v>4.35 - 5.09</v>
      </c>
      <c r="I22" s="89">
        <f>AA193</f>
        <v>0.23529411764705882</v>
      </c>
    </row>
    <row r="25" spans="1:9" x14ac:dyDescent="0.3">
      <c r="D25" s="90"/>
      <c r="E25" s="33"/>
      <c r="F25" s="33"/>
    </row>
    <row r="27" spans="1:9" x14ac:dyDescent="0.3">
      <c r="A27" s="6" t="s">
        <v>128</v>
      </c>
    </row>
    <row r="28" spans="1:9" x14ac:dyDescent="0.3">
      <c r="A28" s="25" t="s">
        <v>129</v>
      </c>
    </row>
    <row r="30" spans="1:9" x14ac:dyDescent="0.3">
      <c r="B30" t="s">
        <v>73</v>
      </c>
    </row>
    <row r="32" spans="1:9" x14ac:dyDescent="0.3">
      <c r="B32" t="s">
        <v>74</v>
      </c>
      <c r="C32">
        <f>Z91-Z90</f>
        <v>-0.5514188081369209</v>
      </c>
    </row>
    <row r="33" spans="2:10" x14ac:dyDescent="0.3">
      <c r="C33" t="s">
        <v>10</v>
      </c>
      <c r="D33" t="s">
        <v>75</v>
      </c>
      <c r="H33" t="s">
        <v>76</v>
      </c>
      <c r="I33" t="s">
        <v>77</v>
      </c>
    </row>
    <row r="34" spans="2:10" x14ac:dyDescent="0.3">
      <c r="B34">
        <v>2024</v>
      </c>
      <c r="C34">
        <f>B177</f>
        <v>423610</v>
      </c>
      <c r="D34">
        <f>B144</f>
        <v>111.71476731195573</v>
      </c>
      <c r="F34">
        <f>(((($C$34/((D34/100)*$R$75))^$O$66)/($W$75/100))*0.0324)+1.9155</f>
        <v>4.9333132059219933</v>
      </c>
    </row>
    <row r="35" spans="2:10" x14ac:dyDescent="0.3">
      <c r="B35">
        <v>2025</v>
      </c>
      <c r="C35">
        <f>B178</f>
        <v>465065</v>
      </c>
      <c r="D35">
        <f>B145</f>
        <v>118.51162878647095</v>
      </c>
      <c r="F35">
        <f>(((($C$35/((D35/100)*$R$75))^$O$66)/($W$75/100))*0.0324)+1.9155</f>
        <v>4.3818943977850742</v>
      </c>
      <c r="H35">
        <f>(((($C$35/((D34/100)*$R$75))^$O$66)/($W$75/100))*0.0324)+1.9155</f>
        <v>3.6580206242110691</v>
      </c>
      <c r="I35">
        <f>(((($C$34/((D35/100)*$R$75))^$O$66)/($W$75/100))*0.0324)+1.9155</f>
        <v>6.18696599083595</v>
      </c>
    </row>
    <row r="36" spans="2:10" x14ac:dyDescent="0.3">
      <c r="F36">
        <f>F35-F34</f>
        <v>-0.55141880813691913</v>
      </c>
      <c r="H36">
        <f>(((($C$35/((D35/100)*$R$75))^$O$66)/($W$75/100))*0.0324)+1.9155</f>
        <v>4.3818943977850742</v>
      </c>
      <c r="I36">
        <f>(((($C$35/((D35/100)*$R$75))^$O$66)/($W$75/100))*0.0324)+1.9155</f>
        <v>4.3818943977850742</v>
      </c>
    </row>
    <row r="37" spans="2:10" x14ac:dyDescent="0.3">
      <c r="H37">
        <f>H35-F34</f>
        <v>-1.2752925817109242</v>
      </c>
      <c r="I37">
        <f>I35-F34</f>
        <v>1.2536527849139567</v>
      </c>
    </row>
    <row r="38" spans="2:10" x14ac:dyDescent="0.3">
      <c r="H38">
        <f>H36-F34</f>
        <v>-0.55141880813691913</v>
      </c>
      <c r="I38">
        <f>I36-F34</f>
        <v>-0.55141880813691913</v>
      </c>
    </row>
    <row r="39" spans="2:10" x14ac:dyDescent="0.3">
      <c r="H39">
        <f>AVERAGE(H37:H38)</f>
        <v>-0.91335569492392166</v>
      </c>
      <c r="I39">
        <f>AVERAGE(I37:I38)</f>
        <v>0.35111698838851879</v>
      </c>
      <c r="J39">
        <f>I39+H39</f>
        <v>-0.56223870653540287</v>
      </c>
    </row>
    <row r="42" spans="2:10" x14ac:dyDescent="0.3">
      <c r="H42">
        <f>H35-H36</f>
        <v>-0.72387377357400506</v>
      </c>
      <c r="I42">
        <f>I35-I36</f>
        <v>1.8050715930508758</v>
      </c>
      <c r="J42">
        <f>I42+H42</f>
        <v>1.0811978194768708</v>
      </c>
    </row>
    <row r="48" spans="2:10" x14ac:dyDescent="0.3">
      <c r="C48" t="s">
        <v>10</v>
      </c>
      <c r="D48">
        <f>(1/-0.17)*LN(C35/C34)</f>
        <v>-0.54919976552587957</v>
      </c>
      <c r="E48">
        <f>EXP(D48)-1</f>
        <v>-0.42258830970994432</v>
      </c>
    </row>
    <row r="49" spans="3:5" x14ac:dyDescent="0.3">
      <c r="C49" t="s">
        <v>75</v>
      </c>
      <c r="D49">
        <f>(-1/-0.17)*LN(D35/D34)</f>
        <v>0.34742462660181989</v>
      </c>
      <c r="E49">
        <f>EXP(D49)-1</f>
        <v>0.41541762175798724</v>
      </c>
    </row>
    <row r="50" spans="3:5" x14ac:dyDescent="0.3">
      <c r="D50">
        <f>D49+D48</f>
        <v>-0.20177513892405968</v>
      </c>
    </row>
    <row r="65" spans="1:35" x14ac:dyDescent="0.3">
      <c r="A65" t="s">
        <v>0</v>
      </c>
      <c r="B65" s="1" t="s">
        <v>1</v>
      </c>
      <c r="C65" s="2" t="s">
        <v>2</v>
      </c>
      <c r="D65" s="2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3" t="s">
        <v>8</v>
      </c>
      <c r="J65" s="3" t="s">
        <v>9</v>
      </c>
      <c r="K65" s="3" t="s">
        <v>10</v>
      </c>
      <c r="L65" s="4" t="s">
        <v>11</v>
      </c>
      <c r="M65" s="4" t="s">
        <v>12</v>
      </c>
      <c r="N65" t="s">
        <v>13</v>
      </c>
      <c r="O65">
        <v>-0.17</v>
      </c>
      <c r="Q65" t="s">
        <v>14</v>
      </c>
      <c r="R65" t="s">
        <v>15</v>
      </c>
      <c r="S65" s="4" t="s">
        <v>16</v>
      </c>
      <c r="T65" t="s">
        <v>17</v>
      </c>
      <c r="V65" t="s">
        <v>18</v>
      </c>
      <c r="X65" s="4" t="s">
        <v>19</v>
      </c>
      <c r="Y65" s="3" t="s">
        <v>9</v>
      </c>
      <c r="Z65" t="s">
        <v>23</v>
      </c>
    </row>
    <row r="66" spans="1:35" x14ac:dyDescent="0.3">
      <c r="A66">
        <v>2000</v>
      </c>
      <c r="B66" s="1">
        <v>110.65268707275391</v>
      </c>
      <c r="C66" s="2">
        <v>48240</v>
      </c>
      <c r="D66" s="2">
        <v>175136</v>
      </c>
      <c r="E66" s="1">
        <v>6161884811</v>
      </c>
      <c r="F66" s="1">
        <v>282398</v>
      </c>
      <c r="G66" s="1">
        <v>10250.951999999999</v>
      </c>
      <c r="H66" s="1">
        <v>73.822000000000003</v>
      </c>
      <c r="I66" s="3">
        <v>247415</v>
      </c>
      <c r="J66" s="3">
        <v>3.6736133122028529</v>
      </c>
      <c r="K66" s="3">
        <v>295655</v>
      </c>
      <c r="L66" s="4">
        <f t="shared" ref="L66:L91" si="0">(K66/$K$75)*100</f>
        <v>78.917725691803</v>
      </c>
      <c r="M66" s="4">
        <f t="shared" ref="M66:M74" si="1">100-(L66-100)</f>
        <v>121.082274308197</v>
      </c>
      <c r="N66" t="s">
        <v>20</v>
      </c>
      <c r="O66">
        <f>1/O65</f>
        <v>-5.8823529411764701</v>
      </c>
      <c r="P66">
        <v>2000</v>
      </c>
      <c r="Q66">
        <f t="shared" ref="Q66:Q75" si="2">J66^$O$65</f>
        <v>0.8015564537064388</v>
      </c>
      <c r="R66">
        <f t="shared" ref="R66:R74" si="3">I66/Q66</f>
        <v>308668.21526536299</v>
      </c>
      <c r="S66" s="4">
        <f t="shared" ref="S66:S76" si="4">(R66/$R$75)*100</f>
        <v>69.886711871675914</v>
      </c>
      <c r="T66" s="5"/>
      <c r="V66">
        <f>K66/R66</f>
        <v>0.95784076681113572</v>
      </c>
      <c r="W66">
        <f t="shared" ref="W66:W91" si="5">V66^$O$66</f>
        <v>1.2883661645613214</v>
      </c>
      <c r="X66" s="4">
        <f t="shared" ref="X66:X91" si="6">(W66/$W$75)*100</f>
        <v>48.924870695448078</v>
      </c>
      <c r="Y66" s="3">
        <v>3.6736133122028529</v>
      </c>
      <c r="Z66">
        <f>X66*0.0324+1.9155</f>
        <v>3.5006658105325177</v>
      </c>
    </row>
    <row r="67" spans="1:35" x14ac:dyDescent="0.3">
      <c r="A67">
        <v>2001</v>
      </c>
      <c r="B67" s="1">
        <v>117.24627685546875</v>
      </c>
      <c r="C67" s="2">
        <v>40551</v>
      </c>
      <c r="D67" s="2">
        <v>151409</v>
      </c>
      <c r="E67" s="1">
        <v>6245112906</v>
      </c>
      <c r="F67" s="1">
        <v>285225</v>
      </c>
      <c r="G67" s="1">
        <v>10581.929</v>
      </c>
      <c r="H67" s="1">
        <v>75.302000000000007</v>
      </c>
      <c r="I67" s="3">
        <v>249324</v>
      </c>
      <c r="J67" s="3">
        <v>3.7917204301075276</v>
      </c>
      <c r="K67" s="3">
        <v>289875</v>
      </c>
      <c r="L67" s="4">
        <f t="shared" si="0"/>
        <v>77.374898902137261</v>
      </c>
      <c r="M67" s="4">
        <f t="shared" si="1"/>
        <v>122.62510109786274</v>
      </c>
      <c r="P67">
        <v>2001</v>
      </c>
      <c r="Q67">
        <f t="shared" si="2"/>
        <v>0.79725605726351467</v>
      </c>
      <c r="R67">
        <f>I67/Q67</f>
        <v>312727.63339769986</v>
      </c>
      <c r="S67" s="4">
        <f t="shared" si="4"/>
        <v>70.805819740095032</v>
      </c>
      <c r="T67" s="5"/>
      <c r="V67">
        <f>K67/R67</f>
        <v>0.92692480306453173</v>
      </c>
      <c r="W67">
        <f t="shared" si="5"/>
        <v>1.5626289377873368</v>
      </c>
      <c r="X67" s="4">
        <f t="shared" si="6"/>
        <v>59.339821883821323</v>
      </c>
      <c r="Y67" s="3">
        <v>3.7917204301075276</v>
      </c>
      <c r="Z67">
        <f t="shared" ref="Z67:Z91" si="7">X67*0.0324+1.9155</f>
        <v>3.8381102290358107</v>
      </c>
    </row>
    <row r="68" spans="1:35" x14ac:dyDescent="0.3">
      <c r="A68">
        <v>2002</v>
      </c>
      <c r="B68" s="1">
        <v>103.79281616210938</v>
      </c>
      <c r="C68" s="2">
        <v>27603</v>
      </c>
      <c r="D68" s="2">
        <v>126942</v>
      </c>
      <c r="E68" s="1">
        <v>6327557399</v>
      </c>
      <c r="F68" s="1">
        <v>287955</v>
      </c>
      <c r="G68" s="1">
        <v>10929.108</v>
      </c>
      <c r="H68" s="1">
        <v>76.290999999999997</v>
      </c>
      <c r="I68" s="3">
        <v>241082</v>
      </c>
      <c r="J68" s="3">
        <v>4.384555052790347</v>
      </c>
      <c r="K68" s="3">
        <v>268685</v>
      </c>
      <c r="L68" s="4">
        <f t="shared" si="0"/>
        <v>71.718757090196632</v>
      </c>
      <c r="M68" s="4">
        <f t="shared" si="1"/>
        <v>128.28124290980338</v>
      </c>
      <c r="O68">
        <v>-0.17</v>
      </c>
      <c r="P68">
        <v>2002</v>
      </c>
      <c r="Q68">
        <f t="shared" si="2"/>
        <v>0.77780845604991511</v>
      </c>
      <c r="R68">
        <f t="shared" si="3"/>
        <v>309950.34590435051</v>
      </c>
      <c r="S68" s="4">
        <f t="shared" si="4"/>
        <v>70.177003810130728</v>
      </c>
      <c r="T68" s="5"/>
      <c r="V68">
        <f>K68/R68</f>
        <v>0.86686465606628216</v>
      </c>
      <c r="W68">
        <f t="shared" si="5"/>
        <v>2.3173539651052302</v>
      </c>
      <c r="X68" s="4">
        <f t="shared" si="6"/>
        <v>88.000016002408003</v>
      </c>
      <c r="Y68" s="3">
        <v>4.384555052790347</v>
      </c>
      <c r="Z68">
        <f t="shared" si="7"/>
        <v>4.7667005184780189</v>
      </c>
    </row>
    <row r="69" spans="1:35" x14ac:dyDescent="0.3">
      <c r="A69">
        <v>2003</v>
      </c>
      <c r="B69" s="1">
        <v>96.601188659667969</v>
      </c>
      <c r="C69" s="2">
        <v>24337</v>
      </c>
      <c r="D69" s="2">
        <v>104701</v>
      </c>
      <c r="E69" s="1">
        <v>6409750441</v>
      </c>
      <c r="F69" s="1">
        <v>290626</v>
      </c>
      <c r="G69" s="1">
        <v>11456.45</v>
      </c>
      <c r="H69" s="1">
        <v>77.894000000000005</v>
      </c>
      <c r="I69" s="3">
        <v>259853</v>
      </c>
      <c r="J69" s="3">
        <v>4.4789660265878872</v>
      </c>
      <c r="K69" s="3">
        <v>284190</v>
      </c>
      <c r="L69" s="4">
        <f t="shared" si="0"/>
        <v>75.857429992232483</v>
      </c>
      <c r="M69" s="4">
        <f t="shared" si="1"/>
        <v>124.14257000776752</v>
      </c>
      <c r="P69">
        <v>2003</v>
      </c>
      <c r="Q69">
        <f t="shared" si="2"/>
        <v>0.77499656820133334</v>
      </c>
      <c r="R69">
        <f t="shared" si="3"/>
        <v>335295.67828033766</v>
      </c>
      <c r="S69" s="4">
        <f t="shared" si="4"/>
        <v>75.915534223862096</v>
      </c>
      <c r="T69" s="5"/>
      <c r="V69">
        <f t="shared" ref="V69:V74" si="8">K69/R69</f>
        <v>0.84758026544675991</v>
      </c>
      <c r="W69">
        <f t="shared" si="5"/>
        <v>2.6452435786475923</v>
      </c>
      <c r="X69" s="4">
        <f t="shared" si="6"/>
        <v>100.45141172064518</v>
      </c>
      <c r="Y69" s="3">
        <v>4.4789660265878872</v>
      </c>
      <c r="Z69">
        <f t="shared" si="7"/>
        <v>5.1701257397489035</v>
      </c>
    </row>
    <row r="70" spans="1:35" x14ac:dyDescent="0.3">
      <c r="A70">
        <v>2004</v>
      </c>
      <c r="B70" s="1">
        <v>92.980888366699219</v>
      </c>
      <c r="C70" s="2">
        <v>53697</v>
      </c>
      <c r="D70" s="2">
        <v>131156</v>
      </c>
      <c r="E70" s="1">
        <v>6492769815</v>
      </c>
      <c r="F70" s="1">
        <v>293262</v>
      </c>
      <c r="G70" s="1">
        <v>12217.196</v>
      </c>
      <c r="H70" s="1">
        <v>79.826999999999998</v>
      </c>
      <c r="I70" s="3">
        <v>270791</v>
      </c>
      <c r="J70" s="3">
        <v>3.6874000000000007</v>
      </c>
      <c r="K70" s="3">
        <v>324488</v>
      </c>
      <c r="L70" s="4">
        <f t="shared" si="0"/>
        <v>86.613975661773935</v>
      </c>
      <c r="M70" s="4">
        <f t="shared" si="1"/>
        <v>113.38602433822606</v>
      </c>
      <c r="P70">
        <v>2004</v>
      </c>
      <c r="Q70">
        <f t="shared" si="2"/>
        <v>0.80104618656105331</v>
      </c>
      <c r="R70">
        <f t="shared" si="3"/>
        <v>338046.67513932561</v>
      </c>
      <c r="S70" s="4">
        <f t="shared" si="4"/>
        <v>76.538397594095059</v>
      </c>
      <c r="T70" s="5"/>
      <c r="V70">
        <f t="shared" si="8"/>
        <v>0.95989111523212756</v>
      </c>
      <c r="W70">
        <f t="shared" si="5"/>
        <v>1.2722622352378288</v>
      </c>
      <c r="X70" s="4">
        <f t="shared" si="6"/>
        <v>48.313334409016051</v>
      </c>
      <c r="Y70" s="3">
        <v>3.6874000000000007</v>
      </c>
      <c r="Z70">
        <f t="shared" si="7"/>
        <v>3.4808520348521199</v>
      </c>
    </row>
    <row r="71" spans="1:35" x14ac:dyDescent="0.3">
      <c r="A71">
        <v>2005</v>
      </c>
      <c r="B71" s="1">
        <v>91.054237365722656</v>
      </c>
      <c r="C71" s="2">
        <v>49968</v>
      </c>
      <c r="D71" s="2">
        <v>123418</v>
      </c>
      <c r="E71" s="1">
        <v>6575841506</v>
      </c>
      <c r="F71" s="1">
        <v>295993</v>
      </c>
      <c r="G71" s="1">
        <v>13039.197</v>
      </c>
      <c r="H71" s="1">
        <v>82.126999999999995</v>
      </c>
      <c r="I71" s="3">
        <v>286216</v>
      </c>
      <c r="J71" s="3">
        <v>3.4951185495118553</v>
      </c>
      <c r="K71" s="3">
        <v>336184</v>
      </c>
      <c r="L71" s="4">
        <f t="shared" si="0"/>
        <v>89.735931047921056</v>
      </c>
      <c r="M71" s="4">
        <f t="shared" si="1"/>
        <v>110.26406895207894</v>
      </c>
      <c r="P71">
        <v>2005</v>
      </c>
      <c r="Q71">
        <f t="shared" si="2"/>
        <v>0.80837239630090485</v>
      </c>
      <c r="R71">
        <f t="shared" si="3"/>
        <v>354064.53920212813</v>
      </c>
      <c r="S71" s="4">
        <f t="shared" si="4"/>
        <v>80.165061420152981</v>
      </c>
      <c r="T71" s="5"/>
      <c r="V71">
        <f t="shared" si="8"/>
        <v>0.94949920926161857</v>
      </c>
      <c r="W71">
        <f t="shared" si="5"/>
        <v>1.3563902595578872</v>
      </c>
      <c r="X71" s="4">
        <f t="shared" si="6"/>
        <v>51.508041647484873</v>
      </c>
      <c r="Y71" s="3">
        <v>3.4951185495118553</v>
      </c>
      <c r="Z71">
        <f t="shared" si="7"/>
        <v>3.58436054937851</v>
      </c>
    </row>
    <row r="72" spans="1:35" x14ac:dyDescent="0.3">
      <c r="A72">
        <v>2006</v>
      </c>
      <c r="B72" s="1">
        <v>84.098709106445313</v>
      </c>
      <c r="C72" s="2">
        <v>33114</v>
      </c>
      <c r="D72" s="2">
        <v>108756</v>
      </c>
      <c r="E72" s="1">
        <v>6659977025</v>
      </c>
      <c r="F72" s="1">
        <v>298818</v>
      </c>
      <c r="G72" s="1">
        <v>13815.583000000001</v>
      </c>
      <c r="H72" s="1">
        <v>84.44</v>
      </c>
      <c r="I72" s="3">
        <v>284661</v>
      </c>
      <c r="J72" s="3">
        <v>5.1895367847411444</v>
      </c>
      <c r="K72" s="3">
        <v>317775</v>
      </c>
      <c r="L72" s="4">
        <f t="shared" si="0"/>
        <v>84.82210780035075</v>
      </c>
      <c r="M72" s="4">
        <f t="shared" si="1"/>
        <v>115.17789219964925</v>
      </c>
      <c r="P72">
        <v>2006</v>
      </c>
      <c r="Q72">
        <f t="shared" si="2"/>
        <v>0.75583698444949521</v>
      </c>
      <c r="R72">
        <f t="shared" si="3"/>
        <v>376616.92382958665</v>
      </c>
      <c r="S72" s="4">
        <f t="shared" si="4"/>
        <v>85.271230207643526</v>
      </c>
      <c r="T72" s="5"/>
      <c r="V72">
        <f t="shared" si="8"/>
        <v>0.84376187020153215</v>
      </c>
      <c r="W72">
        <f t="shared" si="5"/>
        <v>2.7164431093477028</v>
      </c>
      <c r="X72" s="4">
        <f t="shared" si="6"/>
        <v>103.15516778696939</v>
      </c>
      <c r="Y72" s="3">
        <v>5.1895367847411444</v>
      </c>
      <c r="Z72">
        <f t="shared" si="7"/>
        <v>5.2577274362978077</v>
      </c>
    </row>
    <row r="73" spans="1:35" x14ac:dyDescent="0.3">
      <c r="A73">
        <v>2007</v>
      </c>
      <c r="B73" s="1">
        <v>79.869598388671875</v>
      </c>
      <c r="C73" s="2">
        <v>41255</v>
      </c>
      <c r="D73" s="2">
        <v>125362</v>
      </c>
      <c r="E73" s="1">
        <v>6744489399</v>
      </c>
      <c r="F73" s="1">
        <v>301696</v>
      </c>
      <c r="G73" s="1">
        <v>14474.227000000001</v>
      </c>
      <c r="H73" s="1">
        <v>86.606999999999999</v>
      </c>
      <c r="I73" s="3">
        <v>323545</v>
      </c>
      <c r="J73" s="3">
        <v>6.8972477064220197</v>
      </c>
      <c r="K73" s="3">
        <v>364800</v>
      </c>
      <c r="L73" s="4">
        <f t="shared" si="0"/>
        <v>97.374258282016996</v>
      </c>
      <c r="M73" s="4">
        <f t="shared" si="1"/>
        <v>102.625741717983</v>
      </c>
      <c r="P73">
        <v>2007</v>
      </c>
      <c r="Q73">
        <f t="shared" si="2"/>
        <v>0.72015355684685911</v>
      </c>
      <c r="R73">
        <f t="shared" si="3"/>
        <v>449272.23773859936</v>
      </c>
      <c r="S73" s="4">
        <f t="shared" si="4"/>
        <v>101.72138846167715</v>
      </c>
      <c r="T73" s="5"/>
      <c r="V73">
        <f t="shared" si="8"/>
        <v>0.81197984063340245</v>
      </c>
      <c r="W73">
        <f t="shared" si="5"/>
        <v>3.404762183127084</v>
      </c>
      <c r="X73" s="4">
        <f t="shared" si="6"/>
        <v>129.29363882740779</v>
      </c>
      <c r="Y73" s="3">
        <v>6.8972477064220197</v>
      </c>
      <c r="Z73">
        <f t="shared" si="7"/>
        <v>6.1046138980080116</v>
      </c>
    </row>
    <row r="74" spans="1:35" x14ac:dyDescent="0.3">
      <c r="A74">
        <v>2008</v>
      </c>
      <c r="B74" s="1">
        <v>84.344528198242188</v>
      </c>
      <c r="C74" s="2">
        <v>42504</v>
      </c>
      <c r="D74" s="2">
        <v>136049</v>
      </c>
      <c r="E74" s="1">
        <v>6830513541</v>
      </c>
      <c r="F74" s="1">
        <v>304543</v>
      </c>
      <c r="G74" s="1">
        <v>14769.861999999999</v>
      </c>
      <c r="H74" s="1">
        <v>89.17</v>
      </c>
      <c r="I74" s="3">
        <v>305006</v>
      </c>
      <c r="J74" s="3">
        <v>6.3273383084577102</v>
      </c>
      <c r="K74" s="3">
        <v>347510</v>
      </c>
      <c r="L74" s="4">
        <f t="shared" si="0"/>
        <v>92.759124165525563</v>
      </c>
      <c r="M74" s="4">
        <f t="shared" si="1"/>
        <v>107.24087583447444</v>
      </c>
      <c r="P74">
        <v>2008</v>
      </c>
      <c r="Q74">
        <f t="shared" si="2"/>
        <v>0.73078970484863404</v>
      </c>
      <c r="R74">
        <f t="shared" si="3"/>
        <v>417364.93819815764</v>
      </c>
      <c r="S74" s="4">
        <f t="shared" si="4"/>
        <v>94.497138800373151</v>
      </c>
      <c r="T74" s="5"/>
      <c r="V74">
        <f t="shared" si="8"/>
        <v>0.83262863790203734</v>
      </c>
      <c r="W74">
        <f t="shared" si="5"/>
        <v>2.9371983092250233</v>
      </c>
      <c r="X74" s="4">
        <f t="shared" si="6"/>
        <v>111.53820353133258</v>
      </c>
      <c r="Y74" s="3">
        <v>6.3273383084577102</v>
      </c>
      <c r="Z74">
        <f t="shared" si="7"/>
        <v>5.5293377944151754</v>
      </c>
    </row>
    <row r="75" spans="1:35" x14ac:dyDescent="0.3">
      <c r="A75" s="6">
        <v>2009</v>
      </c>
      <c r="B75" s="7">
        <v>82.045845031738281</v>
      </c>
      <c r="C75" s="6">
        <v>43380</v>
      </c>
      <c r="D75" s="6">
        <v>131485</v>
      </c>
      <c r="E75" s="8">
        <v>6916589116</v>
      </c>
      <c r="F75" s="6">
        <v>307240</v>
      </c>
      <c r="G75" s="6">
        <v>14478.066999999999</v>
      </c>
      <c r="H75" s="6">
        <v>88.921000000000006</v>
      </c>
      <c r="I75" s="3">
        <v>331257</v>
      </c>
      <c r="J75" s="3">
        <v>5.4311965811965814</v>
      </c>
      <c r="K75" s="3">
        <v>374637</v>
      </c>
      <c r="L75" s="4">
        <f t="shared" si="0"/>
        <v>100</v>
      </c>
      <c r="M75" s="4">
        <f>100-(L75-100)</f>
        <v>100</v>
      </c>
      <c r="P75" s="6">
        <v>2009</v>
      </c>
      <c r="Q75">
        <f t="shared" si="2"/>
        <v>0.75001122142016552</v>
      </c>
      <c r="R75">
        <f>I75/Q75</f>
        <v>441669.391789574</v>
      </c>
      <c r="S75" s="4">
        <f t="shared" si="4"/>
        <v>100</v>
      </c>
      <c r="T75">
        <v>100.85527239326954</v>
      </c>
      <c r="V75">
        <f>K75/R75</f>
        <v>0.84822948332921733</v>
      </c>
      <c r="W75">
        <f t="shared" si="5"/>
        <v>2.6333562996645581</v>
      </c>
      <c r="X75" s="4">
        <f t="shared" si="6"/>
        <v>100</v>
      </c>
      <c r="Y75" s="3">
        <v>5.4311965811965814</v>
      </c>
      <c r="Z75">
        <f t="shared" si="7"/>
        <v>5.1555</v>
      </c>
      <c r="AI75" s="12"/>
    </row>
    <row r="76" spans="1:35" x14ac:dyDescent="0.3">
      <c r="A76">
        <v>2010</v>
      </c>
      <c r="B76" s="9">
        <v>78.358200073242188</v>
      </c>
      <c r="C76" s="2">
        <v>28644</v>
      </c>
      <c r="D76" s="2">
        <v>114858</v>
      </c>
      <c r="E76" s="10">
        <v>7001266876</v>
      </c>
      <c r="F76" s="1">
        <v>309839</v>
      </c>
      <c r="G76" s="1">
        <v>15048.971</v>
      </c>
      <c r="H76" s="1">
        <v>90.513999999999996</v>
      </c>
      <c r="I76" s="3">
        <v>331057</v>
      </c>
      <c r="J76" s="3">
        <v>7.8673212121212126</v>
      </c>
      <c r="K76" s="3">
        <v>359701</v>
      </c>
      <c r="L76" s="4">
        <f t="shared" si="0"/>
        <v>96.013207451479701</v>
      </c>
      <c r="M76" s="4">
        <f t="shared" ref="M76:M90" si="9">100-(L76-100)</f>
        <v>103.9867925485203</v>
      </c>
      <c r="P76">
        <v>2010</v>
      </c>
      <c r="Q76">
        <f t="shared" ref="Q76:Q90" si="10">J76^$O$65</f>
        <v>0.70422174324276599</v>
      </c>
      <c r="R76">
        <f t="shared" ref="R76:R90" si="11">I76/Q76</f>
        <v>470103.34908940026</v>
      </c>
      <c r="S76" s="4">
        <f t="shared" si="4"/>
        <v>106.43783740245536</v>
      </c>
      <c r="T76">
        <v>104.36823893878218</v>
      </c>
      <c r="V76">
        <f t="shared" ref="V76:V89" si="12">K76/R76</f>
        <v>0.76515302581176703</v>
      </c>
      <c r="W76">
        <f t="shared" si="5"/>
        <v>4.8287367484821209</v>
      </c>
      <c r="X76" s="4">
        <f t="shared" si="6"/>
        <v>183.36815071690887</v>
      </c>
      <c r="Y76" s="3">
        <v>7.8673212121212126</v>
      </c>
      <c r="Z76">
        <f t="shared" si="7"/>
        <v>7.8566280832278466</v>
      </c>
      <c r="AI76" s="12"/>
    </row>
    <row r="77" spans="1:35" x14ac:dyDescent="0.3">
      <c r="A77">
        <v>2011</v>
      </c>
      <c r="B77" s="9">
        <v>83.055450439453125</v>
      </c>
      <c r="C77" s="2">
        <v>25122</v>
      </c>
      <c r="D77" s="2">
        <v>122848</v>
      </c>
      <c r="E77" s="10">
        <v>7087120034</v>
      </c>
      <c r="F77" s="1">
        <v>312295</v>
      </c>
      <c r="G77" s="1">
        <v>15599.732</v>
      </c>
      <c r="H77" s="1">
        <v>92.804000000000002</v>
      </c>
      <c r="I77" s="3">
        <v>317057</v>
      </c>
      <c r="J77" s="3">
        <v>9.1153918128654965</v>
      </c>
      <c r="K77" s="3">
        <v>342179</v>
      </c>
      <c r="L77" s="4">
        <f t="shared" si="0"/>
        <v>91.336146723361537</v>
      </c>
      <c r="M77" s="4">
        <f t="shared" si="9"/>
        <v>108.66385327663846</v>
      </c>
      <c r="P77">
        <v>2011</v>
      </c>
      <c r="Q77">
        <f t="shared" si="10"/>
        <v>0.68681250207020872</v>
      </c>
      <c r="R77">
        <f t="shared" si="11"/>
        <v>461635.45224397961</v>
      </c>
      <c r="S77" s="4">
        <f t="shared" ref="S77:S90" si="13">(R77/$R$75)*100</f>
        <v>104.52058956893215</v>
      </c>
      <c r="T77">
        <v>97.927618000457429</v>
      </c>
      <c r="V77">
        <f t="shared" si="12"/>
        <v>0.74123206598776237</v>
      </c>
      <c r="W77">
        <f t="shared" si="5"/>
        <v>5.8207011382411284</v>
      </c>
      <c r="X77" s="4">
        <f t="shared" si="6"/>
        <v>221.0373559773351</v>
      </c>
      <c r="Y77" s="3">
        <v>9.1153918128654965</v>
      </c>
      <c r="Z77">
        <f t="shared" si="7"/>
        <v>9.0771103336656562</v>
      </c>
      <c r="AI77" s="12"/>
    </row>
    <row r="78" spans="1:35" x14ac:dyDescent="0.3">
      <c r="A78">
        <v>2012</v>
      </c>
      <c r="B78" s="9">
        <v>83.028944651285812</v>
      </c>
      <c r="C78" s="2">
        <v>20859</v>
      </c>
      <c r="D78" s="2">
        <v>145530</v>
      </c>
      <c r="E78" s="10">
        <v>7176929184</v>
      </c>
      <c r="F78" s="1">
        <v>314725</v>
      </c>
      <c r="G78" s="1">
        <v>16253.97</v>
      </c>
      <c r="H78" s="1">
        <v>94.534000000000006</v>
      </c>
      <c r="I78" s="3">
        <v>281518</v>
      </c>
      <c r="J78" s="3">
        <v>9.8552168949771701</v>
      </c>
      <c r="K78" s="3">
        <v>302377</v>
      </c>
      <c r="L78" s="4">
        <f t="shared" si="0"/>
        <v>80.711995878677229</v>
      </c>
      <c r="M78" s="4">
        <f t="shared" si="9"/>
        <v>119.28800412132277</v>
      </c>
      <c r="P78">
        <v>2012</v>
      </c>
      <c r="Q78">
        <f t="shared" si="10"/>
        <v>0.6777612705854319</v>
      </c>
      <c r="R78">
        <f t="shared" si="11"/>
        <v>415364.54238058242</v>
      </c>
      <c r="S78" s="4">
        <f>(R78/$R$75)*100</f>
        <v>94.044221787158818</v>
      </c>
      <c r="T78">
        <v>72.563129602795655</v>
      </c>
      <c r="V78">
        <f t="shared" si="12"/>
        <v>0.72797980845207455</v>
      </c>
      <c r="W78">
        <f t="shared" si="5"/>
        <v>6.4723611573575681</v>
      </c>
      <c r="X78" s="4">
        <f t="shared" si="6"/>
        <v>245.78372315899787</v>
      </c>
      <c r="Y78" s="3">
        <v>9.8552168949771701</v>
      </c>
      <c r="Z78">
        <f t="shared" si="7"/>
        <v>9.8788926303515314</v>
      </c>
      <c r="AI78" s="12"/>
    </row>
    <row r="79" spans="1:35" x14ac:dyDescent="0.3">
      <c r="A79">
        <v>2013</v>
      </c>
      <c r="B79" s="9">
        <v>86.381656646728516</v>
      </c>
      <c r="C79" s="2">
        <v>31292</v>
      </c>
      <c r="D79" s="2">
        <v>216040</v>
      </c>
      <c r="E79" s="10">
        <v>7265892332</v>
      </c>
      <c r="F79" s="1">
        <v>317099</v>
      </c>
      <c r="G79" s="1">
        <v>16880.683000000001</v>
      </c>
      <c r="H79" s="1">
        <v>95.781000000000006</v>
      </c>
      <c r="I79" s="3">
        <v>341792</v>
      </c>
      <c r="J79" s="3">
        <v>6.2861417322834638</v>
      </c>
      <c r="K79" s="3">
        <v>373084</v>
      </c>
      <c r="L79" s="4">
        <f t="shared" si="0"/>
        <v>99.58546539717112</v>
      </c>
      <c r="M79" s="4">
        <f t="shared" si="9"/>
        <v>100.41453460282888</v>
      </c>
      <c r="P79">
        <v>2013</v>
      </c>
      <c r="Q79">
        <f t="shared" si="10"/>
        <v>0.7316016753256972</v>
      </c>
      <c r="R79">
        <f t="shared" si="11"/>
        <v>467183.18386550952</v>
      </c>
      <c r="S79" s="4">
        <f t="shared" si="13"/>
        <v>105.77667199725063</v>
      </c>
      <c r="T79">
        <v>89.78565293670205</v>
      </c>
      <c r="V79">
        <f t="shared" si="12"/>
        <v>0.79858182589765825</v>
      </c>
      <c r="W79">
        <f t="shared" si="5"/>
        <v>3.7548417097366378</v>
      </c>
      <c r="X79" s="4">
        <f t="shared" si="6"/>
        <v>142.58768212318768</v>
      </c>
      <c r="Y79" s="3">
        <v>6.2861417322834638</v>
      </c>
      <c r="Z79">
        <f t="shared" si="7"/>
        <v>6.5353409007912804</v>
      </c>
      <c r="AI79" s="12"/>
    </row>
    <row r="80" spans="1:35" x14ac:dyDescent="0.3">
      <c r="A80">
        <v>2014</v>
      </c>
      <c r="B80" s="9">
        <v>99.92897478739421</v>
      </c>
      <c r="C80" s="2">
        <v>43974</v>
      </c>
      <c r="D80" s="2">
        <v>279937</v>
      </c>
      <c r="E80" s="10">
        <v>7354068030</v>
      </c>
      <c r="F80" s="1">
        <v>319601</v>
      </c>
      <c r="G80" s="1">
        <v>17608.137999999999</v>
      </c>
      <c r="H80" s="1">
        <v>97.120999999999995</v>
      </c>
      <c r="I80" s="3">
        <v>349258</v>
      </c>
      <c r="J80" s="3">
        <v>5.1002200220022011</v>
      </c>
      <c r="K80" s="3">
        <v>393232</v>
      </c>
      <c r="L80" s="4">
        <f t="shared" si="0"/>
        <v>104.96347130689175</v>
      </c>
      <c r="M80" s="4">
        <f t="shared" si="9"/>
        <v>95.036528693108252</v>
      </c>
      <c r="P80">
        <v>2014</v>
      </c>
      <c r="Q80">
        <f t="shared" si="10"/>
        <v>0.75807100342453371</v>
      </c>
      <c r="R80">
        <f t="shared" si="11"/>
        <v>460719.3764466006</v>
      </c>
      <c r="S80" s="4">
        <f t="shared" si="13"/>
        <v>104.31317746059764</v>
      </c>
      <c r="T80">
        <v>87.842946400240862</v>
      </c>
      <c r="V80">
        <f t="shared" si="12"/>
        <v>0.85351739063567977</v>
      </c>
      <c r="W80">
        <f t="shared" si="5"/>
        <v>2.5388269031658992</v>
      </c>
      <c r="X80" s="4">
        <f t="shared" si="6"/>
        <v>96.410307389444398</v>
      </c>
      <c r="Y80" s="3">
        <v>5.1002200220022011</v>
      </c>
      <c r="Z80">
        <f t="shared" si="7"/>
        <v>5.0391939594179984</v>
      </c>
      <c r="AI80" s="12"/>
    </row>
    <row r="81" spans="1:35" x14ac:dyDescent="0.3">
      <c r="A81">
        <v>2015</v>
      </c>
      <c r="B81" s="9">
        <v>103.52058601379395</v>
      </c>
      <c r="C81" s="2">
        <v>44123</v>
      </c>
      <c r="D81" s="2">
        <v>313363</v>
      </c>
      <c r="E81" s="10">
        <v>7441677465</v>
      </c>
      <c r="F81" s="1">
        <v>322113</v>
      </c>
      <c r="G81" s="1">
        <v>18295.019</v>
      </c>
      <c r="H81" s="1">
        <v>97.299000000000007</v>
      </c>
      <c r="I81" s="3">
        <v>347073</v>
      </c>
      <c r="J81" s="3">
        <v>4.8848056155507571</v>
      </c>
      <c r="K81" s="3">
        <v>391196</v>
      </c>
      <c r="L81" s="4">
        <f t="shared" si="0"/>
        <v>104.42001190485723</v>
      </c>
      <c r="M81" s="4">
        <f t="shared" si="9"/>
        <v>95.579988095142767</v>
      </c>
      <c r="P81">
        <v>2015</v>
      </c>
      <c r="Q81">
        <f t="shared" si="10"/>
        <v>0.76365282262712231</v>
      </c>
      <c r="R81">
        <f t="shared" si="11"/>
        <v>454490.56130768656</v>
      </c>
      <c r="S81" s="4">
        <f t="shared" si="13"/>
        <v>102.90288839490624</v>
      </c>
      <c r="T81">
        <v>81.842769537626779</v>
      </c>
      <c r="V81">
        <f t="shared" si="12"/>
        <v>0.86073514678594909</v>
      </c>
      <c r="W81">
        <f t="shared" si="5"/>
        <v>2.4161304025746491</v>
      </c>
      <c r="X81" s="4">
        <f t="shared" si="6"/>
        <v>91.750987243253803</v>
      </c>
      <c r="Y81" s="3">
        <v>4.8848056155507571</v>
      </c>
      <c r="Z81">
        <f t="shared" si="7"/>
        <v>4.888231986681423</v>
      </c>
      <c r="AI81" s="12"/>
    </row>
    <row r="82" spans="1:35" x14ac:dyDescent="0.3">
      <c r="A82">
        <v>2016</v>
      </c>
      <c r="B82" s="9">
        <v>100.41135597229004</v>
      </c>
      <c r="C82" s="2">
        <v>58253</v>
      </c>
      <c r="D82" s="2">
        <v>350824</v>
      </c>
      <c r="E82" s="10">
        <v>7528879985</v>
      </c>
      <c r="F82" s="1">
        <v>324609</v>
      </c>
      <c r="G82" s="1">
        <v>18804.913</v>
      </c>
      <c r="H82" s="1">
        <v>98.284000000000006</v>
      </c>
      <c r="I82" s="3">
        <v>372098</v>
      </c>
      <c r="J82" s="3">
        <v>4.5318406889128093</v>
      </c>
      <c r="K82" s="3">
        <v>430351</v>
      </c>
      <c r="L82" s="4">
        <f t="shared" si="0"/>
        <v>114.87146224211703</v>
      </c>
      <c r="M82" s="4">
        <f t="shared" si="9"/>
        <v>85.128537757882967</v>
      </c>
      <c r="P82">
        <v>2016</v>
      </c>
      <c r="Q82">
        <f>J82^$O$65</f>
        <v>0.77345190268138531</v>
      </c>
      <c r="R82">
        <f>I82/Q82</f>
        <v>481087.44539902121</v>
      </c>
      <c r="S82" s="4">
        <f t="shared" si="13"/>
        <v>108.92478725993023</v>
      </c>
      <c r="T82">
        <v>88.936169369717419</v>
      </c>
      <c r="V82">
        <f t="shared" si="12"/>
        <v>0.89453799743840823</v>
      </c>
      <c r="W82">
        <f t="shared" si="5"/>
        <v>1.9262514692192405</v>
      </c>
      <c r="X82" s="4">
        <f t="shared" si="6"/>
        <v>73.148152016672029</v>
      </c>
      <c r="Y82" s="3">
        <v>4.5318406889128093</v>
      </c>
      <c r="Z82">
        <f t="shared" si="7"/>
        <v>4.2855001253401737</v>
      </c>
      <c r="AI82" s="12"/>
    </row>
    <row r="83" spans="1:35" x14ac:dyDescent="0.3">
      <c r="A83">
        <v>2017</v>
      </c>
      <c r="B83" s="9">
        <v>102.3015677134196</v>
      </c>
      <c r="C83" s="2">
        <v>54367</v>
      </c>
      <c r="D83" s="2">
        <v>342235</v>
      </c>
      <c r="E83" s="10">
        <v>7614523410</v>
      </c>
      <c r="F83" s="1">
        <v>326860</v>
      </c>
      <c r="G83" s="1">
        <v>19612.102999999999</v>
      </c>
      <c r="H83" s="1">
        <v>100</v>
      </c>
      <c r="I83" s="3">
        <v>375897</v>
      </c>
      <c r="J83" s="3">
        <v>4.4931483457844186</v>
      </c>
      <c r="K83" s="3">
        <v>430264</v>
      </c>
      <c r="L83" s="4">
        <f t="shared" si="0"/>
        <v>114.84823976275702</v>
      </c>
      <c r="M83" s="4">
        <f t="shared" si="9"/>
        <v>85.151760237242982</v>
      </c>
      <c r="P83">
        <v>2017</v>
      </c>
      <c r="Q83">
        <f t="shared" si="10"/>
        <v>0.77458016427697352</v>
      </c>
      <c r="R83">
        <f t="shared" si="11"/>
        <v>485291.2807945172</v>
      </c>
      <c r="S83" s="4">
        <f t="shared" si="13"/>
        <v>109.87659317486191</v>
      </c>
      <c r="T83">
        <v>92.283147238868196</v>
      </c>
      <c r="V83">
        <f t="shared" si="12"/>
        <v>0.88660978885829822</v>
      </c>
      <c r="W83">
        <f t="shared" si="5"/>
        <v>2.0298117085255627</v>
      </c>
      <c r="X83" s="4">
        <f t="shared" si="6"/>
        <v>77.080785034069407</v>
      </c>
      <c r="Y83" s="3">
        <v>4.4931483457844186</v>
      </c>
      <c r="Z83">
        <f t="shared" si="7"/>
        <v>4.4129174351038483</v>
      </c>
      <c r="AI83" s="12"/>
    </row>
    <row r="84" spans="1:35" x14ac:dyDescent="0.3">
      <c r="A84">
        <v>2018</v>
      </c>
      <c r="B84" s="9">
        <v>108.06281852722168</v>
      </c>
      <c r="C84" s="2">
        <v>56823</v>
      </c>
      <c r="D84" s="2">
        <v>326775</v>
      </c>
      <c r="E84" s="10">
        <v>7697233736</v>
      </c>
      <c r="F84" s="1">
        <v>328794</v>
      </c>
      <c r="G84" s="1">
        <v>20656.516</v>
      </c>
      <c r="H84" s="1">
        <v>102.047</v>
      </c>
      <c r="I84" s="3">
        <v>362041</v>
      </c>
      <c r="J84" s="3">
        <v>4.7614000000000001</v>
      </c>
      <c r="K84" s="3">
        <v>418864</v>
      </c>
      <c r="L84" s="4">
        <f t="shared" si="0"/>
        <v>111.80529419144398</v>
      </c>
      <c r="M84" s="4">
        <f t="shared" si="9"/>
        <v>88.194705808556023</v>
      </c>
      <c r="P84">
        <v>2018</v>
      </c>
      <c r="Q84">
        <f t="shared" si="10"/>
        <v>0.76698188472089623</v>
      </c>
      <c r="R84">
        <f t="shared" si="11"/>
        <v>472033.31292726198</v>
      </c>
      <c r="S84" s="4">
        <f t="shared" si="13"/>
        <v>106.8748076507313</v>
      </c>
      <c r="T84">
        <v>90.264036224472179</v>
      </c>
      <c r="V84">
        <f t="shared" si="12"/>
        <v>0.88736110043264016</v>
      </c>
      <c r="W84">
        <f t="shared" si="5"/>
        <v>2.0197231541551948</v>
      </c>
      <c r="X84" s="4">
        <f t="shared" si="6"/>
        <v>76.697678715655414</v>
      </c>
      <c r="Y84" s="3">
        <v>4.7614000000000001</v>
      </c>
      <c r="Z84">
        <f t="shared" si="7"/>
        <v>4.4005047903872354</v>
      </c>
      <c r="AI84" s="12"/>
    </row>
    <row r="85" spans="1:35" x14ac:dyDescent="0.3">
      <c r="A85">
        <v>2019</v>
      </c>
      <c r="B85" s="9">
        <v>112.25717480977376</v>
      </c>
      <c r="C85" s="2">
        <v>50913</v>
      </c>
      <c r="D85" s="2">
        <v>314542</v>
      </c>
      <c r="E85" s="10">
        <v>7778008621</v>
      </c>
      <c r="F85" s="1">
        <v>330513</v>
      </c>
      <c r="G85" s="1">
        <v>21539.982</v>
      </c>
      <c r="H85" s="1">
        <v>103.509</v>
      </c>
      <c r="I85" s="3">
        <v>351625</v>
      </c>
      <c r="J85" s="3">
        <v>4.6081404958677696</v>
      </c>
      <c r="K85" s="3">
        <v>402538</v>
      </c>
      <c r="L85" s="4">
        <f t="shared" si="0"/>
        <v>107.44747582326359</v>
      </c>
      <c r="M85" s="4">
        <f t="shared" si="9"/>
        <v>92.552524176736412</v>
      </c>
      <c r="P85">
        <v>2019</v>
      </c>
      <c r="Q85">
        <f t="shared" si="10"/>
        <v>0.77125968205589723</v>
      </c>
      <c r="R85">
        <f t="shared" si="11"/>
        <v>455909.99786569405</v>
      </c>
      <c r="S85" s="4">
        <f t="shared" si="13"/>
        <v>103.22426827415396</v>
      </c>
      <c r="T85">
        <v>87.550077460243457</v>
      </c>
      <c r="V85">
        <f t="shared" si="12"/>
        <v>0.88293303916222332</v>
      </c>
      <c r="W85">
        <f t="shared" si="5"/>
        <v>2.0800412659060266</v>
      </c>
      <c r="X85" s="4">
        <f t="shared" si="6"/>
        <v>78.98821994467616</v>
      </c>
      <c r="Y85" s="3">
        <v>4.6081404958677696</v>
      </c>
      <c r="Z85">
        <f t="shared" si="7"/>
        <v>4.4747183262075074</v>
      </c>
      <c r="AI85" s="12"/>
    </row>
    <row r="86" spans="1:35" x14ac:dyDescent="0.3">
      <c r="A86">
        <v>2020</v>
      </c>
      <c r="B86" s="9">
        <v>110.50793647766113</v>
      </c>
      <c r="C86" s="2">
        <v>31358</v>
      </c>
      <c r="D86" s="2">
        <v>297358</v>
      </c>
      <c r="E86" s="10">
        <v>7854748424</v>
      </c>
      <c r="F86" s="1">
        <v>331840</v>
      </c>
      <c r="G86" s="1">
        <v>21375.281999999999</v>
      </c>
      <c r="H86" s="1">
        <v>104.666</v>
      </c>
      <c r="I86" s="3">
        <v>377990</v>
      </c>
      <c r="J86" s="3">
        <v>5.6760900000000012</v>
      </c>
      <c r="K86" s="3">
        <v>409348</v>
      </c>
      <c r="L86" s="4">
        <f t="shared" si="0"/>
        <v>109.26523541454796</v>
      </c>
      <c r="M86" s="4">
        <f t="shared" si="9"/>
        <v>90.734764585452041</v>
      </c>
      <c r="P86">
        <v>2020</v>
      </c>
      <c r="Q86">
        <f t="shared" si="10"/>
        <v>0.74440901443675067</v>
      </c>
      <c r="R86">
        <f t="shared" si="11"/>
        <v>507771.92735367693</v>
      </c>
      <c r="S86" s="4">
        <f t="shared" si="13"/>
        <v>114.9665194810684</v>
      </c>
      <c r="T86">
        <v>107.31692839785578</v>
      </c>
      <c r="V86">
        <f t="shared" si="12"/>
        <v>0.80616508701726242</v>
      </c>
      <c r="W86">
        <f t="shared" si="5"/>
        <v>3.5517888623292113</v>
      </c>
      <c r="X86" s="4">
        <f t="shared" si="6"/>
        <v>134.8768817490305</v>
      </c>
      <c r="Y86" s="3">
        <v>5.6760900000000012</v>
      </c>
      <c r="Z86">
        <f t="shared" si="7"/>
        <v>6.2855109686685875</v>
      </c>
      <c r="AI86" s="12"/>
    </row>
    <row r="87" spans="1:35" x14ac:dyDescent="0.3">
      <c r="A87">
        <v>2021</v>
      </c>
      <c r="B87" s="9">
        <v>117.94894282023112</v>
      </c>
      <c r="C87" s="2">
        <v>34975</v>
      </c>
      <c r="D87" s="2">
        <v>314119</v>
      </c>
      <c r="E87" s="10">
        <v>7920514854</v>
      </c>
      <c r="F87" s="1">
        <v>332505</v>
      </c>
      <c r="G87" s="1">
        <v>23725.646000000001</v>
      </c>
      <c r="H87" s="1">
        <v>108.973</v>
      </c>
      <c r="I87" s="3">
        <v>378467</v>
      </c>
      <c r="J87" s="3">
        <v>7.2427745664739902</v>
      </c>
      <c r="K87" s="3">
        <v>413442</v>
      </c>
      <c r="L87" s="4">
        <f t="shared" si="0"/>
        <v>110.3580265697195</v>
      </c>
      <c r="M87" s="4">
        <f t="shared" si="9"/>
        <v>89.641973430280501</v>
      </c>
      <c r="P87">
        <v>2021</v>
      </c>
      <c r="Q87">
        <f t="shared" si="10"/>
        <v>0.71419393114990859</v>
      </c>
      <c r="R87">
        <f t="shared" si="11"/>
        <v>529921.89305030671</v>
      </c>
      <c r="S87" s="4">
        <f t="shared" si="13"/>
        <v>119.98157511054765</v>
      </c>
      <c r="T87">
        <v>112.68819168993569</v>
      </c>
      <c r="V87">
        <f t="shared" si="12"/>
        <v>0.78019422375657732</v>
      </c>
      <c r="W87">
        <f t="shared" si="5"/>
        <v>4.3062732537205113</v>
      </c>
      <c r="X87" s="4">
        <f t="shared" si="6"/>
        <v>163.52793787415143</v>
      </c>
      <c r="Y87" s="3">
        <v>7.2427745664739902</v>
      </c>
      <c r="Z87">
        <f t="shared" si="7"/>
        <v>7.2138051871225057</v>
      </c>
      <c r="AI87" s="12"/>
    </row>
    <row r="88" spans="1:35" x14ac:dyDescent="0.3">
      <c r="A88">
        <v>2022</v>
      </c>
      <c r="B88" s="9">
        <v>115.50069681803386</v>
      </c>
      <c r="C88" s="2">
        <v>34551</v>
      </c>
      <c r="D88" s="2">
        <v>305373</v>
      </c>
      <c r="E88" s="10">
        <v>7989545217</v>
      </c>
      <c r="F88" s="1">
        <v>334372</v>
      </c>
      <c r="G88" s="1">
        <v>26054.614000000001</v>
      </c>
      <c r="H88" s="1">
        <v>116.1</v>
      </c>
      <c r="I88" s="3">
        <v>348145</v>
      </c>
      <c r="J88" s="3">
        <v>7.2008963093145875</v>
      </c>
      <c r="K88" s="3">
        <v>382696</v>
      </c>
      <c r="L88" s="4">
        <f t="shared" si="0"/>
        <v>102.15114897887823</v>
      </c>
      <c r="M88" s="4">
        <f t="shared" si="9"/>
        <v>97.848851021121774</v>
      </c>
      <c r="P88">
        <v>2022</v>
      </c>
      <c r="Q88">
        <f t="shared" si="10"/>
        <v>0.71489833445931716</v>
      </c>
      <c r="R88">
        <f t="shared" si="11"/>
        <v>486985.32814921805</v>
      </c>
      <c r="S88" s="4">
        <f t="shared" si="13"/>
        <v>110.26014869992034</v>
      </c>
      <c r="T88">
        <v>88.186766833755911</v>
      </c>
      <c r="V88">
        <f t="shared" si="12"/>
        <v>0.78584708384220037</v>
      </c>
      <c r="W88">
        <f t="shared" si="5"/>
        <v>4.1272288768587657</v>
      </c>
      <c r="X88" s="4">
        <f t="shared" si="6"/>
        <v>156.72884362000309</v>
      </c>
      <c r="Y88" s="3">
        <v>7.2008963093145875</v>
      </c>
      <c r="Z88">
        <f t="shared" si="7"/>
        <v>6.9935145332880992</v>
      </c>
      <c r="AI88" s="12"/>
    </row>
    <row r="89" spans="1:35" x14ac:dyDescent="0.3">
      <c r="A89">
        <v>2023</v>
      </c>
      <c r="B89" s="9">
        <v>117.15745989481609</v>
      </c>
      <c r="C89" s="2">
        <v>44792</v>
      </c>
      <c r="D89" s="2">
        <v>315448</v>
      </c>
      <c r="E89" s="10">
        <v>8064057930</v>
      </c>
      <c r="F89" s="1">
        <v>337141</v>
      </c>
      <c r="G89" s="1">
        <v>27811.517</v>
      </c>
      <c r="H89" s="1">
        <v>120.511</v>
      </c>
      <c r="I89" s="3">
        <v>380148</v>
      </c>
      <c r="J89" s="3">
        <v>4.7430532445923461</v>
      </c>
      <c r="K89" s="3">
        <v>424940</v>
      </c>
      <c r="L89" s="4">
        <f t="shared" si="0"/>
        <v>113.4271307959438</v>
      </c>
      <c r="M89" s="4">
        <f t="shared" si="9"/>
        <v>86.572869204056204</v>
      </c>
      <c r="P89">
        <v>2023</v>
      </c>
      <c r="Q89">
        <f t="shared" si="10"/>
        <v>0.76748543080163178</v>
      </c>
      <c r="R89">
        <f t="shared" si="11"/>
        <v>495316.24281510955</v>
      </c>
      <c r="S89" s="4">
        <f t="shared" si="13"/>
        <v>112.14638189170572</v>
      </c>
      <c r="T89">
        <v>95.964336994422709</v>
      </c>
      <c r="V89">
        <f t="shared" si="12"/>
        <v>0.85791654556868746</v>
      </c>
      <c r="W89">
        <f t="shared" si="5"/>
        <v>2.4632003834625564</v>
      </c>
      <c r="X89" s="4">
        <f t="shared" si="6"/>
        <v>93.538439282839306</v>
      </c>
      <c r="Y89" s="3">
        <v>4.7430532445923461</v>
      </c>
      <c r="Z89">
        <f t="shared" si="7"/>
        <v>4.9461454327639931</v>
      </c>
      <c r="AI89" s="12"/>
    </row>
    <row r="90" spans="1:35" x14ac:dyDescent="0.3">
      <c r="A90">
        <v>2024</v>
      </c>
      <c r="B90" s="9">
        <v>115.30511792500813</v>
      </c>
      <c r="C90" s="2">
        <v>38905</v>
      </c>
      <c r="D90" s="2">
        <v>293369</v>
      </c>
      <c r="E90" s="10">
        <v>8141808945</v>
      </c>
      <c r="F90" s="1">
        <v>340212</v>
      </c>
      <c r="G90" s="1">
        <v>29298.012999999999</v>
      </c>
      <c r="H90" s="1">
        <v>123.666</v>
      </c>
      <c r="I90" s="3">
        <v>384705</v>
      </c>
      <c r="J90" s="3">
        <v>4.3227990235964207</v>
      </c>
      <c r="K90" s="3">
        <v>423610</v>
      </c>
      <c r="L90" s="4">
        <f t="shared" si="0"/>
        <v>113.07212047929063</v>
      </c>
      <c r="M90" s="4">
        <f t="shared" si="9"/>
        <v>86.927879520709368</v>
      </c>
      <c r="P90">
        <v>2024</v>
      </c>
      <c r="Q90">
        <f t="shared" si="10"/>
        <v>0.77968637033080779</v>
      </c>
      <c r="R90">
        <f t="shared" si="11"/>
        <v>493409.93332585273</v>
      </c>
      <c r="S90" s="4">
        <f t="shared" si="13"/>
        <v>111.71476731195573</v>
      </c>
      <c r="T90">
        <v>94.660708343773081</v>
      </c>
      <c r="V90">
        <f>K90/R90</f>
        <v>0.85853561387513422</v>
      </c>
      <c r="W90">
        <f t="shared" si="5"/>
        <v>2.4527708077239434</v>
      </c>
      <c r="X90" s="4">
        <f t="shared" si="6"/>
        <v>93.142382898826952</v>
      </c>
      <c r="Y90" s="3">
        <v>4.3227990235964207</v>
      </c>
      <c r="Z90">
        <f t="shared" si="7"/>
        <v>4.9333132059219933</v>
      </c>
      <c r="AI90" s="12"/>
    </row>
    <row r="91" spans="1:35" x14ac:dyDescent="0.3">
      <c r="A91">
        <v>2025</v>
      </c>
      <c r="B91" s="9">
        <v>117.66338221232097</v>
      </c>
      <c r="C91" s="2">
        <v>51534</v>
      </c>
      <c r="D91" s="2">
        <v>279151</v>
      </c>
      <c r="E91" s="1">
        <f>AVERAGE((E90-E89),(E89-E88),(E88-E87),(E87-E86))+E90</f>
        <v>8213574075.25</v>
      </c>
      <c r="F91" s="1">
        <f t="shared" ref="F91:H91" si="14">AVERAGE((F90-F89),(F89-F88),(F88-F87),(F87-F86))+F90</f>
        <v>342305</v>
      </c>
      <c r="G91" s="1">
        <f t="shared" si="14"/>
        <v>31278.695749999999</v>
      </c>
      <c r="H91" s="1">
        <f t="shared" si="14"/>
        <v>128.416</v>
      </c>
      <c r="I91" s="3">
        <v>413531</v>
      </c>
      <c r="J91" s="3">
        <v>4</v>
      </c>
      <c r="K91" s="3">
        <v>465065</v>
      </c>
      <c r="L91" s="4">
        <f t="shared" si="0"/>
        <v>124.13749843181535</v>
      </c>
      <c r="M91" s="4">
        <f>100-(L91-100)</f>
        <v>75.862501568184655</v>
      </c>
      <c r="P91">
        <v>2025</v>
      </c>
      <c r="Q91">
        <f>J91^$O$65</f>
        <v>0.79004131186337712</v>
      </c>
      <c r="R91">
        <f>I91/Q91</f>
        <v>523429.59006112389</v>
      </c>
      <c r="S91" s="4">
        <f>(R91/$R$75)*100</f>
        <v>118.51162878647095</v>
      </c>
      <c r="T91">
        <v>112.57872752323257</v>
      </c>
      <c r="V91">
        <f>K91/R91</f>
        <v>0.88849581458643112</v>
      </c>
      <c r="W91">
        <f t="shared" si="5"/>
        <v>2.004597291624906</v>
      </c>
      <c r="X91" s="4">
        <f t="shared" si="6"/>
        <v>76.123283882255336</v>
      </c>
      <c r="Y91" s="3">
        <v>4</v>
      </c>
      <c r="Z91">
        <f t="shared" si="7"/>
        <v>4.3818943977850724</v>
      </c>
      <c r="AI91" s="12"/>
    </row>
    <row r="92" spans="1:35" x14ac:dyDescent="0.3">
      <c r="I92" s="3">
        <v>413531</v>
      </c>
      <c r="J92" s="3"/>
      <c r="K92" s="3">
        <v>465065</v>
      </c>
      <c r="U92" s="14"/>
      <c r="V92" s="14"/>
      <c r="W92" s="14"/>
      <c r="X92" s="15"/>
      <c r="Y92" s="14"/>
    </row>
    <row r="93" spans="1:35" x14ac:dyDescent="0.3">
      <c r="I93" s="3"/>
      <c r="J93" s="3"/>
      <c r="K93" s="3"/>
      <c r="R93">
        <f>AVERAGE(R66:R91)</f>
        <v>434781.92291617946</v>
      </c>
      <c r="S93" s="4">
        <f>AVERAGE(S66:S91)</f>
        <v>98.440582707013562</v>
      </c>
    </row>
    <row r="94" spans="1:35" x14ac:dyDescent="0.3">
      <c r="S94">
        <f>STDEV(S66:S91)</f>
        <v>15.63074109618568</v>
      </c>
    </row>
    <row r="95" spans="1:35" x14ac:dyDescent="0.3">
      <c r="Q95" t="s">
        <v>21</v>
      </c>
      <c r="R95" t="s">
        <v>22</v>
      </c>
    </row>
    <row r="98" spans="4:17" x14ac:dyDescent="0.3">
      <c r="I98" s="3" t="s">
        <v>8</v>
      </c>
      <c r="J98" s="3" t="s">
        <v>9</v>
      </c>
      <c r="K98" s="3" t="s">
        <v>10</v>
      </c>
      <c r="M98" s="17" t="s">
        <v>15</v>
      </c>
      <c r="P98" t="s">
        <v>31</v>
      </c>
    </row>
    <row r="99" spans="4:17" x14ac:dyDescent="0.3">
      <c r="H99">
        <v>2009</v>
      </c>
      <c r="I99" s="3">
        <v>331257</v>
      </c>
      <c r="J99" s="3">
        <v>5.4311965811965814</v>
      </c>
      <c r="K99" s="3">
        <v>374637</v>
      </c>
      <c r="M99">
        <f>I99/(J99^$O$65)</f>
        <v>441669.391789574</v>
      </c>
      <c r="N99" s="18">
        <f>(M99/$M$99)*100</f>
        <v>100</v>
      </c>
      <c r="P99">
        <f t="shared" ref="P99:P115" si="15">(K99/M99)^$O$66</f>
        <v>2.6333562996645581</v>
      </c>
      <c r="Q99">
        <f>(P99/$P$99)*100</f>
        <v>100</v>
      </c>
    </row>
    <row r="100" spans="4:17" x14ac:dyDescent="0.3">
      <c r="H100">
        <v>2010</v>
      </c>
      <c r="I100" s="3">
        <v>331057</v>
      </c>
      <c r="J100" s="3">
        <v>7.8673212121212126</v>
      </c>
      <c r="K100" s="3">
        <v>359701</v>
      </c>
      <c r="M100">
        <f t="shared" ref="M100:M114" si="16">I100/(J100^$O$65)</f>
        <v>470103.34908940026</v>
      </c>
      <c r="N100" s="18">
        <f t="shared" ref="N100:N114" si="17">(M100/$M$99)*100</f>
        <v>106.43783740245536</v>
      </c>
      <c r="P100">
        <f t="shared" si="15"/>
        <v>4.8287367484821209</v>
      </c>
      <c r="Q100">
        <f t="shared" ref="Q100:Q115" si="18">(P100/$P$99)*100</f>
        <v>183.36815071690887</v>
      </c>
    </row>
    <row r="101" spans="4:17" x14ac:dyDescent="0.3">
      <c r="D101" s="19"/>
      <c r="H101">
        <v>2011</v>
      </c>
      <c r="I101" s="3">
        <v>317057</v>
      </c>
      <c r="J101" s="3">
        <v>9.1153918128654965</v>
      </c>
      <c r="K101" s="3">
        <v>342179</v>
      </c>
      <c r="M101">
        <f t="shared" si="16"/>
        <v>461635.45224397961</v>
      </c>
      <c r="N101" s="18">
        <f t="shared" si="17"/>
        <v>104.52058956893215</v>
      </c>
      <c r="P101">
        <f t="shared" si="15"/>
        <v>5.8207011382411284</v>
      </c>
      <c r="Q101">
        <f t="shared" si="18"/>
        <v>221.0373559773351</v>
      </c>
    </row>
    <row r="102" spans="4:17" x14ac:dyDescent="0.3">
      <c r="D102" s="19"/>
      <c r="H102">
        <v>2012</v>
      </c>
      <c r="I102" s="3">
        <v>281518</v>
      </c>
      <c r="J102" s="3">
        <v>9.8552168949771701</v>
      </c>
      <c r="K102" s="3">
        <v>302377</v>
      </c>
      <c r="M102">
        <f t="shared" si="16"/>
        <v>415364.54238058242</v>
      </c>
      <c r="N102" s="18">
        <f t="shared" si="17"/>
        <v>94.044221787158818</v>
      </c>
      <c r="P102">
        <f t="shared" si="15"/>
        <v>6.4723611573575681</v>
      </c>
      <c r="Q102">
        <f t="shared" si="18"/>
        <v>245.78372315899787</v>
      </c>
    </row>
    <row r="103" spans="4:17" x14ac:dyDescent="0.3">
      <c r="D103" s="19"/>
      <c r="H103">
        <v>2013</v>
      </c>
      <c r="I103" s="3">
        <v>341792</v>
      </c>
      <c r="J103" s="3">
        <v>6.2861417322834638</v>
      </c>
      <c r="K103" s="3">
        <v>373084</v>
      </c>
      <c r="M103">
        <f t="shared" si="16"/>
        <v>467183.18386550952</v>
      </c>
      <c r="N103" s="18">
        <f t="shared" si="17"/>
        <v>105.77667199725063</v>
      </c>
      <c r="P103">
        <f t="shared" si="15"/>
        <v>3.7548417097366378</v>
      </c>
      <c r="Q103">
        <f t="shared" si="18"/>
        <v>142.58768212318768</v>
      </c>
    </row>
    <row r="104" spans="4:17" x14ac:dyDescent="0.3">
      <c r="D104" s="19"/>
      <c r="H104">
        <v>2014</v>
      </c>
      <c r="I104" s="3">
        <v>349258</v>
      </c>
      <c r="J104" s="3">
        <v>5.1002200220022011</v>
      </c>
      <c r="K104" s="3">
        <v>393232</v>
      </c>
      <c r="M104">
        <f t="shared" si="16"/>
        <v>460719.3764466006</v>
      </c>
      <c r="N104" s="18">
        <f t="shared" si="17"/>
        <v>104.31317746059764</v>
      </c>
      <c r="P104">
        <f t="shared" si="15"/>
        <v>2.5388269031658992</v>
      </c>
      <c r="Q104">
        <f t="shared" si="18"/>
        <v>96.410307389444398</v>
      </c>
    </row>
    <row r="105" spans="4:17" x14ac:dyDescent="0.3">
      <c r="D105" s="19"/>
      <c r="H105">
        <v>2015</v>
      </c>
      <c r="I105" s="3">
        <v>347073</v>
      </c>
      <c r="J105" s="3">
        <v>4.8848056155507571</v>
      </c>
      <c r="K105" s="3">
        <v>391196</v>
      </c>
      <c r="M105">
        <f t="shared" si="16"/>
        <v>454490.56130768656</v>
      </c>
      <c r="N105" s="18">
        <f t="shared" si="17"/>
        <v>102.90288839490624</v>
      </c>
      <c r="P105">
        <f t="shared" si="15"/>
        <v>2.4161304025746491</v>
      </c>
      <c r="Q105">
        <f t="shared" si="18"/>
        <v>91.750987243253803</v>
      </c>
    </row>
    <row r="106" spans="4:17" x14ac:dyDescent="0.3">
      <c r="D106" s="19"/>
      <c r="H106">
        <v>2016</v>
      </c>
      <c r="I106" s="3">
        <v>372098</v>
      </c>
      <c r="J106" s="3">
        <v>4.5318406889128093</v>
      </c>
      <c r="K106" s="3">
        <v>430351</v>
      </c>
      <c r="M106">
        <f t="shared" si="16"/>
        <v>481087.44539902121</v>
      </c>
      <c r="N106" s="18">
        <f t="shared" si="17"/>
        <v>108.92478725993023</v>
      </c>
      <c r="P106">
        <f t="shared" si="15"/>
        <v>1.9262514692192405</v>
      </c>
      <c r="Q106">
        <f t="shared" si="18"/>
        <v>73.148152016672029</v>
      </c>
    </row>
    <row r="107" spans="4:17" x14ac:dyDescent="0.3">
      <c r="D107" s="19"/>
      <c r="H107">
        <v>2017</v>
      </c>
      <c r="I107" s="3">
        <v>375897</v>
      </c>
      <c r="J107" s="3">
        <v>4.4931483457844186</v>
      </c>
      <c r="K107" s="3">
        <v>430264</v>
      </c>
      <c r="M107">
        <f t="shared" si="16"/>
        <v>485291.2807945172</v>
      </c>
      <c r="N107" s="18">
        <f t="shared" si="17"/>
        <v>109.87659317486191</v>
      </c>
      <c r="P107">
        <f t="shared" si="15"/>
        <v>2.0298117085255627</v>
      </c>
      <c r="Q107">
        <f t="shared" si="18"/>
        <v>77.080785034069407</v>
      </c>
    </row>
    <row r="108" spans="4:17" x14ac:dyDescent="0.3">
      <c r="D108" s="19"/>
      <c r="H108">
        <v>2018</v>
      </c>
      <c r="I108" s="3">
        <v>362041</v>
      </c>
      <c r="J108" s="3">
        <v>4.7614000000000001</v>
      </c>
      <c r="K108" s="3">
        <v>418864</v>
      </c>
      <c r="M108">
        <f t="shared" si="16"/>
        <v>472033.31292726198</v>
      </c>
      <c r="N108" s="18">
        <f t="shared" si="17"/>
        <v>106.8748076507313</v>
      </c>
      <c r="P108">
        <f t="shared" si="15"/>
        <v>2.0197231541551948</v>
      </c>
      <c r="Q108">
        <f t="shared" si="18"/>
        <v>76.697678715655414</v>
      </c>
    </row>
    <row r="109" spans="4:17" x14ac:dyDescent="0.3">
      <c r="D109" s="19"/>
      <c r="H109">
        <v>2019</v>
      </c>
      <c r="I109" s="3">
        <v>351625</v>
      </c>
      <c r="J109" s="3">
        <v>4.6081404958677696</v>
      </c>
      <c r="K109" s="3">
        <v>402538</v>
      </c>
      <c r="M109">
        <f>I109/(J109^$O$65)</f>
        <v>455909.99786569405</v>
      </c>
      <c r="N109" s="18">
        <f>(M109/$M$99)*100</f>
        <v>103.22426827415396</v>
      </c>
      <c r="P109">
        <f t="shared" si="15"/>
        <v>2.0800412659060266</v>
      </c>
      <c r="Q109">
        <f t="shared" si="18"/>
        <v>78.98821994467616</v>
      </c>
    </row>
    <row r="110" spans="4:17" x14ac:dyDescent="0.3">
      <c r="D110" s="19"/>
      <c r="H110">
        <v>2020</v>
      </c>
      <c r="I110" s="3">
        <v>377990</v>
      </c>
      <c r="J110" s="3">
        <v>5.6760900000000012</v>
      </c>
      <c r="K110" s="3">
        <v>409348</v>
      </c>
      <c r="M110">
        <f t="shared" si="16"/>
        <v>507771.92735367693</v>
      </c>
      <c r="N110" s="18">
        <f t="shared" si="17"/>
        <v>114.9665194810684</v>
      </c>
      <c r="P110">
        <f t="shared" si="15"/>
        <v>3.5517888623292113</v>
      </c>
      <c r="Q110">
        <f t="shared" si="18"/>
        <v>134.8768817490305</v>
      </c>
    </row>
    <row r="111" spans="4:17" x14ac:dyDescent="0.3">
      <c r="D111" s="19"/>
      <c r="H111">
        <v>2021</v>
      </c>
      <c r="I111" s="3">
        <v>378467</v>
      </c>
      <c r="J111" s="3">
        <v>7.2427745664739902</v>
      </c>
      <c r="K111" s="3">
        <v>413442</v>
      </c>
      <c r="M111">
        <f t="shared" si="16"/>
        <v>529921.89305030671</v>
      </c>
      <c r="N111" s="18">
        <f t="shared" si="17"/>
        <v>119.98157511054765</v>
      </c>
      <c r="P111">
        <f t="shared" si="15"/>
        <v>4.3062732537205113</v>
      </c>
      <c r="Q111">
        <f t="shared" si="18"/>
        <v>163.52793787415143</v>
      </c>
    </row>
    <row r="112" spans="4:17" x14ac:dyDescent="0.3">
      <c r="D112" s="19"/>
      <c r="H112">
        <v>2022</v>
      </c>
      <c r="I112" s="3">
        <v>348145</v>
      </c>
      <c r="J112" s="3">
        <v>7.2008963093145875</v>
      </c>
      <c r="K112" s="3">
        <v>382696</v>
      </c>
      <c r="M112">
        <f t="shared" si="16"/>
        <v>486985.32814921805</v>
      </c>
      <c r="N112" s="18">
        <f t="shared" si="17"/>
        <v>110.26014869992034</v>
      </c>
      <c r="P112">
        <f t="shared" si="15"/>
        <v>4.1272288768587657</v>
      </c>
      <c r="Q112">
        <f t="shared" si="18"/>
        <v>156.72884362000309</v>
      </c>
    </row>
    <row r="113" spans="1:73" x14ac:dyDescent="0.3">
      <c r="D113" s="19"/>
      <c r="H113">
        <v>2023</v>
      </c>
      <c r="I113" s="3">
        <v>380148</v>
      </c>
      <c r="J113" s="3">
        <v>4.7430532445923461</v>
      </c>
      <c r="K113" s="3">
        <v>424940</v>
      </c>
      <c r="M113">
        <f t="shared" si="16"/>
        <v>495316.24281510955</v>
      </c>
      <c r="N113" s="18">
        <f t="shared" si="17"/>
        <v>112.14638189170572</v>
      </c>
      <c r="P113">
        <f t="shared" si="15"/>
        <v>2.4632003834625564</v>
      </c>
      <c r="Q113">
        <f t="shared" si="18"/>
        <v>93.538439282839306</v>
      </c>
    </row>
    <row r="114" spans="1:73" x14ac:dyDescent="0.3">
      <c r="D114" s="19"/>
      <c r="H114">
        <v>2024</v>
      </c>
      <c r="I114" s="3">
        <v>384705</v>
      </c>
      <c r="J114" s="3">
        <v>4.3227990235964207</v>
      </c>
      <c r="K114" s="3">
        <v>423610</v>
      </c>
      <c r="M114">
        <f t="shared" si="16"/>
        <v>493409.93332585273</v>
      </c>
      <c r="N114" s="18">
        <f t="shared" si="17"/>
        <v>111.71476731195573</v>
      </c>
      <c r="P114">
        <f t="shared" si="15"/>
        <v>2.4527708077239434</v>
      </c>
      <c r="Q114">
        <f t="shared" si="18"/>
        <v>93.142382898826952</v>
      </c>
    </row>
    <row r="115" spans="1:73" x14ac:dyDescent="0.3">
      <c r="D115" s="19"/>
      <c r="H115">
        <v>2025</v>
      </c>
      <c r="I115" s="3">
        <v>413531</v>
      </c>
      <c r="J115" s="3">
        <v>4</v>
      </c>
      <c r="K115" s="3">
        <v>465065</v>
      </c>
      <c r="M115">
        <f>I115/(J115^$O$65)</f>
        <v>523429.59006112389</v>
      </c>
      <c r="N115" s="18">
        <f>(M115/$M$99)*100</f>
        <v>118.51162878647095</v>
      </c>
      <c r="P115">
        <f t="shared" si="15"/>
        <v>2.004597291624906</v>
      </c>
      <c r="Q115">
        <f t="shared" si="18"/>
        <v>76.123283882255336</v>
      </c>
    </row>
    <row r="116" spans="1:73" x14ac:dyDescent="0.3">
      <c r="D116" s="19"/>
      <c r="H116" t="s">
        <v>36</v>
      </c>
      <c r="I116">
        <f>I115</f>
        <v>413531</v>
      </c>
      <c r="N116" s="18">
        <f>N114</f>
        <v>111.71476731195573</v>
      </c>
    </row>
    <row r="117" spans="1:73" x14ac:dyDescent="0.3">
      <c r="D117" s="19"/>
    </row>
    <row r="118" spans="1:73" x14ac:dyDescent="0.3">
      <c r="D118" s="19"/>
    </row>
    <row r="119" spans="1:73" x14ac:dyDescent="0.3">
      <c r="A119" t="s">
        <v>32</v>
      </c>
      <c r="B119" t="s">
        <v>33</v>
      </c>
      <c r="C119" t="s">
        <v>34</v>
      </c>
      <c r="D119" t="s">
        <v>35</v>
      </c>
      <c r="H119" t="s">
        <v>65</v>
      </c>
    </row>
    <row r="120" spans="1:73" x14ac:dyDescent="0.3">
      <c r="D120" s="19"/>
      <c r="AL120" t="s">
        <v>40</v>
      </c>
    </row>
    <row r="121" spans="1:73" x14ac:dyDescent="0.3">
      <c r="D121" s="19"/>
      <c r="H121" s="12"/>
      <c r="T121">
        <v>-17.890884325958886</v>
      </c>
      <c r="U121">
        <v>-9.8241139484491153</v>
      </c>
      <c r="V121">
        <v>-5.6447845828123961</v>
      </c>
      <c r="W121">
        <v>-2.7555613507016257</v>
      </c>
      <c r="X121">
        <v>-1.2736648106218145</v>
      </c>
      <c r="Y121">
        <v>-1.2299331665810276</v>
      </c>
      <c r="Z121">
        <v>-1.176974007037193</v>
      </c>
      <c r="AA121">
        <v>-0.92341234650133686</v>
      </c>
      <c r="AB121">
        <v>-0.21156803744567035</v>
      </c>
      <c r="AC121">
        <v>0.7460847217040657</v>
      </c>
      <c r="AD121">
        <v>1.5829127068747273</v>
      </c>
      <c r="AE121" s="33">
        <v>3.6218311217547097</v>
      </c>
      <c r="AF121" s="33">
        <v>4.2110972339017465</v>
      </c>
      <c r="AG121" s="3">
        <v>5.4028523238193893</v>
      </c>
      <c r="AH121">
        <v>6.6052291160038381</v>
      </c>
      <c r="AI121">
        <v>8.5633169108010687</v>
      </c>
      <c r="AJ121">
        <v>10.145098906409007</v>
      </c>
      <c r="AM121">
        <v>-17.11688449808867</v>
      </c>
      <c r="AN121">
        <v>-11.121336238122117</v>
      </c>
      <c r="AO121">
        <v>-10.447244287588337</v>
      </c>
      <c r="AP121">
        <v>-7.8971419237664886</v>
      </c>
      <c r="AQ121">
        <v>-4.5716392486186797</v>
      </c>
      <c r="AR121">
        <v>-3.6910729916220486</v>
      </c>
      <c r="AS121">
        <v>-2.0869869510115659</v>
      </c>
      <c r="AT121">
        <v>-1.9956955044497955</v>
      </c>
      <c r="AU121">
        <v>-1.4802269289696661</v>
      </c>
      <c r="AV121">
        <v>0.54134579729391463</v>
      </c>
      <c r="AW121">
        <v>2.0197252052954853</v>
      </c>
      <c r="AX121">
        <v>2.2641063021715824</v>
      </c>
      <c r="AY121">
        <v>4.1084749941715089</v>
      </c>
      <c r="AZ121">
        <v>4.7103850734814126</v>
      </c>
      <c r="BA121">
        <v>8.6299214506880322</v>
      </c>
      <c r="BB121">
        <v>9.3641887443624015</v>
      </c>
      <c r="BC121">
        <v>10.394361037845675</v>
      </c>
    </row>
    <row r="122" spans="1:73" ht="16.2" thickBot="1" x14ac:dyDescent="0.35">
      <c r="D122" s="19"/>
      <c r="H122" s="12"/>
      <c r="T122">
        <f>$C$178*(1+(T121/100))</f>
        <v>362286.93094217597</v>
      </c>
      <c r="U122">
        <f t="shared" ref="U122:Z122" si="19">$C$178*(1+(U121/100))</f>
        <v>397879.63534158806</v>
      </c>
      <c r="V122">
        <f t="shared" si="19"/>
        <v>416319.93148707098</v>
      </c>
      <c r="W122">
        <f t="shared" si="19"/>
        <v>429067.94136363053</v>
      </c>
      <c r="X122">
        <f t="shared" si="19"/>
        <v>435606.45715535618</v>
      </c>
      <c r="Y122" s="33">
        <f t="shared" si="19"/>
        <v>435799.41262655484</v>
      </c>
      <c r="Z122">
        <f t="shared" si="19"/>
        <v>436033.0823137621</v>
      </c>
      <c r="AA122">
        <f t="shared" ref="AA122" si="20">$C$178*(1+(AA121/100))</f>
        <v>437151.86279320129</v>
      </c>
      <c r="AB122">
        <f t="shared" ref="AB122" si="21">$C$178*(1+(AB121/100))</f>
        <v>440292.7063879639</v>
      </c>
      <c r="AC122">
        <f t="shared" ref="AC122" si="22">$C$178*(1+(AC121/100))</f>
        <v>444518.12126635551</v>
      </c>
      <c r="AD122">
        <f t="shared" ref="AD122" si="23">$C$178*(1+(AD121/100))</f>
        <v>448210.42558586044</v>
      </c>
      <c r="AE122" s="33">
        <f t="shared" ref="AE122:AF122" si="24">$C$178*(1+(AE121/100))</f>
        <v>457206.66782893572</v>
      </c>
      <c r="AF122" s="33">
        <f t="shared" si="24"/>
        <v>459806.6643034498</v>
      </c>
      <c r="AG122" s="3">
        <f t="shared" ref="AG122" si="25">$C$178*(1+(AG121/100))</f>
        <v>465065</v>
      </c>
      <c r="AH122">
        <f t="shared" ref="AH122" si="26">$C$178*(1+(AH121/100))</f>
        <v>470370.20142983733</v>
      </c>
      <c r="AI122">
        <f t="shared" ref="AI122" si="27">$C$178*(1+(AI121/100))</f>
        <v>479009.79779948498</v>
      </c>
      <c r="AJ122">
        <f t="shared" ref="AJ122" si="28">$C$178*(1+(AJ121/100))</f>
        <v>485989.03439098998</v>
      </c>
      <c r="AM122">
        <f>$C$184*(1+(T121/100))</f>
        <v>366286.13753019588</v>
      </c>
      <c r="AN122">
        <f t="shared" ref="AN122:BC122" si="29">$C$184*(1+(U121/100))</f>
        <v>402271.74204761494</v>
      </c>
      <c r="AO122">
        <f t="shared" si="29"/>
        <v>420915.59660918056</v>
      </c>
      <c r="AP122">
        <f t="shared" si="29"/>
        <v>433804.32899248332</v>
      </c>
      <c r="AQ122">
        <f t="shared" si="29"/>
        <v>440415.02203709009</v>
      </c>
      <c r="AR122">
        <f t="shared" si="29"/>
        <v>440610.10750174342</v>
      </c>
      <c r="AS122">
        <f t="shared" si="29"/>
        <v>440846.35661777534</v>
      </c>
      <c r="AT122">
        <f t="shared" si="29"/>
        <v>441977.48707145266</v>
      </c>
      <c r="AU122">
        <f t="shared" si="29"/>
        <v>445153.00175513211</v>
      </c>
      <c r="AV122">
        <f t="shared" si="29"/>
        <v>449425.06006881082</v>
      </c>
      <c r="AW122">
        <f t="shared" si="29"/>
        <v>453158.12293216155</v>
      </c>
      <c r="AX122">
        <f t="shared" si="29"/>
        <v>462253.67273555195</v>
      </c>
      <c r="AY122">
        <f t="shared" si="29"/>
        <v>464882.37000532425</v>
      </c>
      <c r="AZ122">
        <f t="shared" si="29"/>
        <v>470198.75132528396</v>
      </c>
      <c r="BA122">
        <f t="shared" si="29"/>
        <v>475562.51571916143</v>
      </c>
      <c r="BB122">
        <f t="shared" si="29"/>
        <v>484297.48271294252</v>
      </c>
      <c r="BC122">
        <f t="shared" si="29"/>
        <v>491353.76157832559</v>
      </c>
    </row>
    <row r="123" spans="1:73" x14ac:dyDescent="0.3">
      <c r="D123" s="19"/>
      <c r="H123" s="12"/>
      <c r="L123" t="s">
        <v>42</v>
      </c>
      <c r="M123" t="s">
        <v>43</v>
      </c>
      <c r="N123" t="s">
        <v>16</v>
      </c>
      <c r="O123" t="s">
        <v>44</v>
      </c>
      <c r="Q123">
        <v>-8.9737782128411823</v>
      </c>
      <c r="R123">
        <f>$C$145+Q123</f>
        <v>106.76472178715882</v>
      </c>
      <c r="S123" s="21">
        <f>(((($M$124/((R123/100)*$R$75))^$O$66)/($W$75/100))*0.0324)+1.9155</f>
        <v>3.2502400024109974</v>
      </c>
      <c r="T123" s="53">
        <f>((((T$122/(($R123/100)*$R$75))^$O$66)/($W$75/100))*0.0323)+1.8946</f>
        <v>7.6763592671880563</v>
      </c>
      <c r="U123" s="55">
        <f t="shared" ref="U123:AJ138" si="30">((((U$122/(($R123/100)*$R$75))^$O$66)/($W$75/100))*0.0323)+1.8946</f>
        <v>5.2262077721860969</v>
      </c>
      <c r="V123" s="55">
        <f t="shared" si="30"/>
        <v>4.446805717847111</v>
      </c>
      <c r="W123" s="55">
        <f t="shared" si="30"/>
        <v>4.0318904288334361</v>
      </c>
      <c r="X123" s="55">
        <f t="shared" si="30"/>
        <v>3.8499604281410007</v>
      </c>
      <c r="Y123" s="55">
        <f t="shared" si="30"/>
        <v>3.8448732263970973</v>
      </c>
      <c r="Z123" s="55">
        <f t="shared" si="30"/>
        <v>3.8387333257787688</v>
      </c>
      <c r="AA123" s="55">
        <f t="shared" si="30"/>
        <v>3.80964780151553</v>
      </c>
      <c r="AB123" s="55">
        <f t="shared" si="30"/>
        <v>3.7306751577595527</v>
      </c>
      <c r="AC123" s="55">
        <f t="shared" si="30"/>
        <v>3.6303636083738544</v>
      </c>
      <c r="AD123" s="55">
        <f t="shared" si="30"/>
        <v>3.5479253307367955</v>
      </c>
      <c r="AE123" s="55">
        <f t="shared" si="30"/>
        <v>3.3655234681851667</v>
      </c>
      <c r="AF123" s="55">
        <f t="shared" si="30"/>
        <v>3.3172680253801401</v>
      </c>
      <c r="AG123" s="55">
        <f t="shared" si="30"/>
        <v>3.2252204345023223</v>
      </c>
      <c r="AH123" s="55">
        <f t="shared" si="30"/>
        <v>3.1393349072911541</v>
      </c>
      <c r="AI123" s="55">
        <f t="shared" si="30"/>
        <v>3.0129538734543724</v>
      </c>
      <c r="AJ123" s="56">
        <f t="shared" si="30"/>
        <v>2.9217310848924747</v>
      </c>
      <c r="AL123">
        <f>R123</f>
        <v>106.76472178715882</v>
      </c>
      <c r="AM123" s="22">
        <f>(T123^$O$65)*(($AL123/100)*$R$75)</f>
        <v>333463.78564087686</v>
      </c>
      <c r="AN123" s="23">
        <f t="shared" ref="AN123:AU123" si="31">(U123^$O$65)*(($AL123/100)*$R$75)</f>
        <v>355986.3467950261</v>
      </c>
      <c r="AO123" s="23">
        <f t="shared" si="31"/>
        <v>365895.34931142326</v>
      </c>
      <c r="AP123" s="23">
        <f t="shared" si="31"/>
        <v>372039.10700159334</v>
      </c>
      <c r="AQ123" s="23">
        <f t="shared" si="31"/>
        <v>374970.85298447974</v>
      </c>
      <c r="AR123" s="23">
        <f t="shared" si="31"/>
        <v>375055.14860801736</v>
      </c>
      <c r="AS123" s="23">
        <f t="shared" si="31"/>
        <v>375157.06155563635</v>
      </c>
      <c r="AT123" s="23">
        <f t="shared" si="31"/>
        <v>375642.44203511399</v>
      </c>
      <c r="AU123" s="23">
        <f t="shared" si="31"/>
        <v>376982.51883913612</v>
      </c>
      <c r="AV123" s="23">
        <f>(AC123^$O$65)*(($AL123/100)*$R$75)</f>
        <v>378733.35459827771</v>
      </c>
      <c r="AW123" s="23">
        <f t="shared" ref="AW123" si="32">(AD123^$O$65)*(($AL123/100)*$R$75)</f>
        <v>380215.14830702054</v>
      </c>
      <c r="AX123" s="23">
        <f t="shared" ref="AX123" si="33">(AE123^$O$65)*(($AL123/100)*$R$75)</f>
        <v>383641.98544755956</v>
      </c>
      <c r="AY123" s="23">
        <f t="shared" ref="AY123" si="34">(AF123^$O$65)*(($AL123/100)*$R$75)</f>
        <v>384585.03437081736</v>
      </c>
      <c r="AZ123" s="23">
        <f t="shared" ref="AZ123" si="35">(AG123^$O$65)*(($AL123/100)*$R$75)</f>
        <v>386429.23696523375</v>
      </c>
      <c r="BA123" s="23">
        <f t="shared" ref="BA123" si="36">(AH123^$O$65)*(($AL123/100)*$R$75)</f>
        <v>388206.3862316336</v>
      </c>
      <c r="BB123" s="23">
        <f t="shared" ref="BB123" si="37">(AI123^$O$65)*(($AL123/100)*$R$75)</f>
        <v>390927.61845296924</v>
      </c>
      <c r="BC123" s="24">
        <f t="shared" ref="BC123" si="38">(AJ123^$O$65)*(($AL123/100)*$R$75)</f>
        <v>392976.18741051276</v>
      </c>
      <c r="BE123">
        <f>((AM123/AM$122*100)/88.9428348*100)</f>
        <v>102.35692403868714</v>
      </c>
      <c r="BF123">
        <f t="shared" ref="BF123:BU138" si="39">((AN123/AN$122*100)/88.9428348*100)</f>
        <v>99.495364700262371</v>
      </c>
      <c r="BG123">
        <f t="shared" si="39"/>
        <v>97.73517700083849</v>
      </c>
      <c r="BH123">
        <f t="shared" si="39"/>
        <v>96.423689366724048</v>
      </c>
      <c r="BI123">
        <f t="shared" si="39"/>
        <v>95.724789423333348</v>
      </c>
      <c r="BJ123">
        <f t="shared" si="39"/>
        <v>95.703916072866235</v>
      </c>
      <c r="BK123">
        <f t="shared" si="39"/>
        <v>95.678619928949786</v>
      </c>
      <c r="BL123">
        <f t="shared" si="39"/>
        <v>95.55722728387039</v>
      </c>
      <c r="BM123">
        <f t="shared" si="39"/>
        <v>95.214028033363533</v>
      </c>
      <c r="BN123">
        <f t="shared" si="39"/>
        <v>94.746963906085284</v>
      </c>
      <c r="BO123">
        <f t="shared" si="39"/>
        <v>94.334093256282756</v>
      </c>
      <c r="BP123">
        <f t="shared" si="39"/>
        <v>93.311418652818574</v>
      </c>
      <c r="BQ123">
        <f t="shared" si="39"/>
        <v>93.011861550936601</v>
      </c>
      <c r="BR123">
        <f t="shared" si="39"/>
        <v>92.40118453891283</v>
      </c>
      <c r="BS123">
        <f t="shared" si="39"/>
        <v>91.779162947366558</v>
      </c>
      <c r="BT123">
        <f t="shared" si="39"/>
        <v>90.755546199192779</v>
      </c>
      <c r="BU123">
        <f t="shared" si="39"/>
        <v>89.920969874111378</v>
      </c>
    </row>
    <row r="124" spans="1:73" x14ac:dyDescent="0.3">
      <c r="D124" s="19"/>
      <c r="H124" s="12"/>
      <c r="L124" t="s">
        <v>47</v>
      </c>
      <c r="M124" s="25">
        <f>K91</f>
        <v>465065</v>
      </c>
      <c r="N124" s="25">
        <v>118.5116288</v>
      </c>
      <c r="Q124">
        <v>-6.64323172584605</v>
      </c>
      <c r="R124">
        <f t="shared" ref="R124:R139" si="40">$C$145+Q124</f>
        <v>109.09526827415395</v>
      </c>
      <c r="S124" s="21">
        <f t="shared" ref="S124:S139" si="41">(((($M$124/((R124/100)*$R$75))^$O$66)/($W$75/100))*0.0324)+1.9155</f>
        <v>3.4310219022652926</v>
      </c>
      <c r="T124" s="57">
        <f t="shared" ref="T124:T138" si="42">((((T$122/(($R124/100)*$R$75))^$O$66)/($W$75/100))*0.0323)+1.8946</f>
        <v>8.4594611618899247</v>
      </c>
      <c r="U124" s="58">
        <f t="shared" si="30"/>
        <v>5.6774524951562544</v>
      </c>
      <c r="V124" s="58">
        <f t="shared" si="30"/>
        <v>4.7924854739478979</v>
      </c>
      <c r="W124" s="58">
        <f t="shared" si="30"/>
        <v>4.3213725928256501</v>
      </c>
      <c r="X124" s="58">
        <f t="shared" si="30"/>
        <v>4.1148013503136385</v>
      </c>
      <c r="Y124" s="58">
        <f t="shared" si="30"/>
        <v>4.1090251199989707</v>
      </c>
      <c r="Z124" s="58">
        <f t="shared" si="30"/>
        <v>4.102053609556485</v>
      </c>
      <c r="AA124" s="58">
        <f t="shared" si="30"/>
        <v>4.0690286391651096</v>
      </c>
      <c r="AB124" s="58">
        <f t="shared" si="30"/>
        <v>3.9793596616295721</v>
      </c>
      <c r="AC124" s="58">
        <f t="shared" si="30"/>
        <v>3.8654615617227845</v>
      </c>
      <c r="AD124" s="58">
        <f t="shared" si="30"/>
        <v>3.7718575526136626</v>
      </c>
      <c r="AE124" s="58">
        <f t="shared" si="30"/>
        <v>3.5647505376057627</v>
      </c>
      <c r="AF124" s="58">
        <f t="shared" si="30"/>
        <v>3.509959207202519</v>
      </c>
      <c r="AG124" s="58">
        <f t="shared" si="30"/>
        <v>3.405444365529906</v>
      </c>
      <c r="AH124" s="58">
        <f t="shared" si="30"/>
        <v>3.3079261991896374</v>
      </c>
      <c r="AI124" s="58">
        <f t="shared" si="30"/>
        <v>3.164427671787597</v>
      </c>
      <c r="AJ124" s="59">
        <f t="shared" si="30"/>
        <v>3.060849346569543</v>
      </c>
      <c r="AL124">
        <f t="shared" ref="AL124:AL148" si="43">R124</f>
        <v>109.09526827415395</v>
      </c>
      <c r="AM124" s="26">
        <f t="shared" ref="AM124:AM148" si="44">(T124^$O$65)*(($AL124/100)*$R$75)</f>
        <v>335162.14301809313</v>
      </c>
      <c r="AN124" s="35">
        <f t="shared" ref="AN124:AN148" si="45">(U124^$O$65)*(($AL124/100)*$R$75)</f>
        <v>358671.70827230997</v>
      </c>
      <c r="AO124" s="35">
        <f t="shared" ref="AO124:AO148" si="46">(V124^$O$65)*(($AL124/100)*$R$75)</f>
        <v>369154.25693294441</v>
      </c>
      <c r="AP124" s="35">
        <f t="shared" ref="AP124:AP148" si="47">(W124^$O$65)*(($AL124/100)*$R$75)</f>
        <v>375705.47727252712</v>
      </c>
      <c r="AQ124" s="35">
        <f t="shared" ref="AQ124:AQ148" si="48">(X124^$O$65)*(($AL124/100)*$R$75)</f>
        <v>378847.04948317166</v>
      </c>
      <c r="AR124" s="35">
        <f t="shared" ref="AR124:AR148" si="49">(Y124^$O$65)*(($AL124/100)*$R$75)</f>
        <v>378937.53213474649</v>
      </c>
      <c r="AS124" s="35">
        <f t="shared" ref="AS124:AS148" si="50">(Z124^$O$65)*(($AL124/100)*$R$75)</f>
        <v>379046.93683882075</v>
      </c>
      <c r="AT124" s="35">
        <f t="shared" ref="AT124:AT148" si="51">(AA124^$O$65)*(($AL124/100)*$R$75)</f>
        <v>379568.17422942485</v>
      </c>
      <c r="AU124" s="35">
        <f t="shared" ref="AU124:AU148" si="52">(AB124^$O$65)*(($AL124/100)*$R$75)</f>
        <v>381008.77229209268</v>
      </c>
      <c r="AV124" s="35">
        <f t="shared" ref="AV124:AV148" si="53">(AC124^$O$65)*(($AL124/100)*$R$75)</f>
        <v>382894.37540320924</v>
      </c>
      <c r="AW124" s="35">
        <f t="shared" ref="AW124:AW148" si="54">(AD124^$O$65)*(($AL124/100)*$R$75)</f>
        <v>384493.33832965896</v>
      </c>
      <c r="AX124" s="35">
        <f t="shared" ref="AX124:AX148" si="55">(AE124^$O$65)*(($AL124/100)*$R$75)</f>
        <v>388202.44238363003</v>
      </c>
      <c r="AY124" s="35">
        <f t="shared" ref="AY124:AY148" si="56">(AF124^$O$65)*(($AL124/100)*$R$75)</f>
        <v>389226.02054067206</v>
      </c>
      <c r="AZ124" s="35">
        <f t="shared" ref="AZ124:AZ148" si="57">(AG124^$O$65)*(($AL124/100)*$R$75)</f>
        <v>391231.37279781693</v>
      </c>
      <c r="BA124" s="35">
        <f t="shared" ref="BA124:BA148" si="58">(AH124^$O$65)*(($AL124/100)*$R$75)</f>
        <v>393168.51282622368</v>
      </c>
      <c r="BB124" s="35">
        <f t="shared" ref="BB124:BB148" si="59">(AI124^$O$65)*(($AL124/100)*$R$75)</f>
        <v>396143.95966130658</v>
      </c>
      <c r="BC124" s="27">
        <f t="shared" ref="BC124:BC148" si="60">(AJ124^$O$65)*(($AL124/100)*$R$75)</f>
        <v>398391.5199057202</v>
      </c>
      <c r="BE124">
        <f t="shared" ref="BE124:BE148" si="61">((AM124/AM$122*100)/88.9428348*100)</f>
        <v>102.87823593082013</v>
      </c>
      <c r="BF124">
        <f t="shared" si="39"/>
        <v>100.24590196648016</v>
      </c>
      <c r="BG124">
        <f t="shared" si="39"/>
        <v>98.605671566615712</v>
      </c>
      <c r="BH124">
        <f t="shared" si="39"/>
        <v>97.373925353895146</v>
      </c>
      <c r="BI124">
        <f t="shared" si="39"/>
        <v>96.714327918519032</v>
      </c>
      <c r="BJ124">
        <f t="shared" si="39"/>
        <v>96.694595199879345</v>
      </c>
      <c r="BK124">
        <f t="shared" si="39"/>
        <v>96.670678820891041</v>
      </c>
      <c r="BL124">
        <f t="shared" si="39"/>
        <v>96.555868655476402</v>
      </c>
      <c r="BM124">
        <f t="shared" si="39"/>
        <v>96.230934096593529</v>
      </c>
      <c r="BN124">
        <f t="shared" si="39"/>
        <v>95.787918137421727</v>
      </c>
      <c r="BO124">
        <f t="shared" si="39"/>
        <v>95.395542749709534</v>
      </c>
      <c r="BP124">
        <f t="shared" si="39"/>
        <v>94.420636941096831</v>
      </c>
      <c r="BQ124">
        <f t="shared" si="39"/>
        <v>94.13428370601747</v>
      </c>
      <c r="BR124">
        <f t="shared" si="39"/>
        <v>93.549449206286766</v>
      </c>
      <c r="BS124">
        <f t="shared" si="39"/>
        <v>92.952301364050399</v>
      </c>
      <c r="BT124">
        <f t="shared" si="39"/>
        <v>91.966542488985411</v>
      </c>
      <c r="BU124">
        <f t="shared" si="39"/>
        <v>91.160108442197611</v>
      </c>
    </row>
    <row r="125" spans="1:73" x14ac:dyDescent="0.3">
      <c r="D125" s="19"/>
      <c r="G125" s="28"/>
      <c r="H125" s="12"/>
      <c r="Q125">
        <v>-3.0506116050937635</v>
      </c>
      <c r="R125">
        <f t="shared" si="40"/>
        <v>112.68788839490624</v>
      </c>
      <c r="S125" s="21">
        <f t="shared" si="41"/>
        <v>3.7492271915436834</v>
      </c>
      <c r="T125" s="57">
        <f t="shared" si="42"/>
        <v>9.8378467477196079</v>
      </c>
      <c r="U125" s="58">
        <f t="shared" si="30"/>
        <v>6.4717159569507956</v>
      </c>
      <c r="V125" s="58">
        <f t="shared" si="30"/>
        <v>5.4009375749402473</v>
      </c>
      <c r="W125" s="58">
        <f t="shared" si="30"/>
        <v>4.8309078715693694</v>
      </c>
      <c r="X125" s="58">
        <f t="shared" si="30"/>
        <v>4.5809640708106727</v>
      </c>
      <c r="Y125" s="58">
        <f t="shared" si="30"/>
        <v>4.5739750391267382</v>
      </c>
      <c r="Z125" s="58">
        <f t="shared" si="30"/>
        <v>4.5655397613221691</v>
      </c>
      <c r="AA125" s="58">
        <f t="shared" si="30"/>
        <v>4.5255807306304519</v>
      </c>
      <c r="AB125" s="58">
        <f t="shared" si="30"/>
        <v>4.4170844811872332</v>
      </c>
      <c r="AC125" s="58">
        <f t="shared" si="30"/>
        <v>4.2792718619489039</v>
      </c>
      <c r="AD125" s="58">
        <f t="shared" si="30"/>
        <v>4.1660143653173236</v>
      </c>
      <c r="AE125" s="58">
        <f t="shared" si="30"/>
        <v>3.9154222990385268</v>
      </c>
      <c r="AF125" s="58">
        <f t="shared" si="30"/>
        <v>3.84912675275107</v>
      </c>
      <c r="AG125" s="58">
        <f t="shared" si="30"/>
        <v>3.7226675397179321</v>
      </c>
      <c r="AH125" s="58">
        <f t="shared" si="30"/>
        <v>3.6046740531042847</v>
      </c>
      <c r="AI125" s="58">
        <f t="shared" si="30"/>
        <v>3.4310459773567281</v>
      </c>
      <c r="AJ125" s="59">
        <f t="shared" si="30"/>
        <v>3.3057199156726309</v>
      </c>
      <c r="AL125">
        <f t="shared" si="43"/>
        <v>112.68788839490624</v>
      </c>
      <c r="AM125" s="26">
        <f t="shared" si="44"/>
        <v>337428.32423917315</v>
      </c>
      <c r="AN125" s="35">
        <f t="shared" si="45"/>
        <v>362327.45037651452</v>
      </c>
      <c r="AO125" s="35">
        <f t="shared" si="46"/>
        <v>373641.22503657127</v>
      </c>
      <c r="AP125" s="35">
        <f t="shared" si="47"/>
        <v>380793.61325989122</v>
      </c>
      <c r="AQ125" s="35">
        <f t="shared" si="48"/>
        <v>384248.22816003213</v>
      </c>
      <c r="AR125" s="35">
        <f t="shared" si="49"/>
        <v>384347.97721468657</v>
      </c>
      <c r="AS125" s="35">
        <f t="shared" si="50"/>
        <v>384468.60518839554</v>
      </c>
      <c r="AT125" s="35">
        <f t="shared" si="51"/>
        <v>385043.60100020689</v>
      </c>
      <c r="AU125" s="35">
        <f t="shared" si="52"/>
        <v>386635.27448136301</v>
      </c>
      <c r="AV125" s="35">
        <f t="shared" si="53"/>
        <v>388724.27732350858</v>
      </c>
      <c r="AW125" s="35">
        <f t="shared" si="54"/>
        <v>390500.87772274634</v>
      </c>
      <c r="AX125" s="35">
        <f t="shared" si="55"/>
        <v>394640.97954772483</v>
      </c>
      <c r="AY125" s="35">
        <f t="shared" si="56"/>
        <v>395788.31473582436</v>
      </c>
      <c r="AZ125" s="35">
        <f t="shared" si="57"/>
        <v>398042.38628932217</v>
      </c>
      <c r="BA125" s="35">
        <f t="shared" si="58"/>
        <v>400227.86671836552</v>
      </c>
      <c r="BB125" s="35">
        <f t="shared" si="59"/>
        <v>403600.81326568051</v>
      </c>
      <c r="BC125" s="27">
        <f t="shared" si="60"/>
        <v>406162.02427422925</v>
      </c>
      <c r="BE125">
        <f t="shared" si="61"/>
        <v>103.57384171799184</v>
      </c>
      <c r="BF125">
        <f t="shared" si="39"/>
        <v>101.2676529330063</v>
      </c>
      <c r="BG125">
        <f t="shared" si="39"/>
        <v>99.804196288589807</v>
      </c>
      <c r="BH125">
        <f t="shared" si="39"/>
        <v>98.692649204877696</v>
      </c>
      <c r="BI125">
        <f t="shared" si="39"/>
        <v>98.093172933711898</v>
      </c>
      <c r="BJ125">
        <f t="shared" si="39"/>
        <v>98.075194249830261</v>
      </c>
      <c r="BK125">
        <f t="shared" si="39"/>
        <v>98.053400348905924</v>
      </c>
      <c r="BL125">
        <f t="shared" si="39"/>
        <v>97.948726708408799</v>
      </c>
      <c r="BM125">
        <f t="shared" si="39"/>
        <v>97.652013086751083</v>
      </c>
      <c r="BN125">
        <f t="shared" si="39"/>
        <v>97.246373011047808</v>
      </c>
      <c r="BO125">
        <f t="shared" si="39"/>
        <v>96.886056170523275</v>
      </c>
      <c r="BP125">
        <f t="shared" si="39"/>
        <v>95.986651766428579</v>
      </c>
      <c r="BQ125">
        <f t="shared" si="39"/>
        <v>95.721374062080301</v>
      </c>
      <c r="BR125">
        <f t="shared" si="39"/>
        <v>95.178067474066069</v>
      </c>
      <c r="BS125">
        <f t="shared" si="39"/>
        <v>94.621263066250293</v>
      </c>
      <c r="BT125">
        <f t="shared" si="39"/>
        <v>93.697683472245956</v>
      </c>
      <c r="BU125">
        <f t="shared" si="39"/>
        <v>92.938158389273511</v>
      </c>
    </row>
    <row r="126" spans="1:73" x14ac:dyDescent="0.3">
      <c r="D126" s="19"/>
      <c r="G126" s="28"/>
      <c r="H126" s="12"/>
      <c r="M126" t="s">
        <v>15</v>
      </c>
      <c r="N126" s="18">
        <f>(N124/100)*R75</f>
        <v>523429.5901208776</v>
      </c>
      <c r="Q126">
        <v>-3.0452326880442797</v>
      </c>
      <c r="R126">
        <f t="shared" si="40"/>
        <v>112.69326731195572</v>
      </c>
      <c r="S126" s="21">
        <f t="shared" si="41"/>
        <v>3.7497421284454573</v>
      </c>
      <c r="T126" s="57">
        <f t="shared" si="42"/>
        <v>9.8400773253590454</v>
      </c>
      <c r="U126" s="58">
        <f t="shared" si="30"/>
        <v>6.4730012767741574</v>
      </c>
      <c r="V126" s="58">
        <f t="shared" si="30"/>
        <v>5.4019222048327054</v>
      </c>
      <c r="W126" s="58">
        <f t="shared" si="30"/>
        <v>4.8317324289435586</v>
      </c>
      <c r="X126" s="58">
        <f t="shared" si="30"/>
        <v>4.5817184403799498</v>
      </c>
      <c r="Y126" s="58">
        <f t="shared" si="30"/>
        <v>4.5747274460756566</v>
      </c>
      <c r="Z126" s="58">
        <f t="shared" si="30"/>
        <v>4.5662897995240685</v>
      </c>
      <c r="AA126" s="58">
        <f t="shared" si="30"/>
        <v>4.5263195477632863</v>
      </c>
      <c r="AB126" s="58">
        <f t="shared" si="30"/>
        <v>4.4177928310167527</v>
      </c>
      <c r="AC126" s="58">
        <f t="shared" si="30"/>
        <v>4.2799415120178992</v>
      </c>
      <c r="AD126" s="58">
        <f t="shared" si="30"/>
        <v>4.1666522110564888</v>
      </c>
      <c r="AE126" s="58">
        <f t="shared" si="30"/>
        <v>3.9159897749305248</v>
      </c>
      <c r="AF126" s="58">
        <f t="shared" si="30"/>
        <v>3.8496756119026028</v>
      </c>
      <c r="AG126" s="58">
        <f t="shared" si="30"/>
        <v>3.7231808873082803</v>
      </c>
      <c r="AH126" s="58">
        <f t="shared" si="30"/>
        <v>3.6051542664308736</v>
      </c>
      <c r="AI126" s="58">
        <f t="shared" si="30"/>
        <v>3.4314774334288041</v>
      </c>
      <c r="AJ126" s="59">
        <f t="shared" si="30"/>
        <v>3.3061161783886761</v>
      </c>
      <c r="AL126">
        <f>R126</f>
        <v>112.69326731195572</v>
      </c>
      <c r="AM126" s="26">
        <f t="shared" si="44"/>
        <v>337431.42564804119</v>
      </c>
      <c r="AN126" s="35">
        <f t="shared" si="45"/>
        <v>362332.51289331052</v>
      </c>
      <c r="AO126" s="35">
        <f t="shared" si="46"/>
        <v>373647.48071558768</v>
      </c>
      <c r="AP126" s="35">
        <f t="shared" si="47"/>
        <v>380800.7410135208</v>
      </c>
      <c r="AQ126" s="35">
        <f t="shared" si="48"/>
        <v>384255.81303269084</v>
      </c>
      <c r="AR126" s="35">
        <f t="shared" si="49"/>
        <v>384355.57564982213</v>
      </c>
      <c r="AS126" s="35">
        <f t="shared" si="50"/>
        <v>384476.22005251667</v>
      </c>
      <c r="AT126" s="35">
        <f t="shared" si="51"/>
        <v>385051.29459414101</v>
      </c>
      <c r="AU126" s="35">
        <f t="shared" si="52"/>
        <v>386643.18964994018</v>
      </c>
      <c r="AV126" s="35">
        <f t="shared" si="53"/>
        <v>388732.491559438</v>
      </c>
      <c r="AW126" s="35">
        <f t="shared" si="54"/>
        <v>390509.35385053285</v>
      </c>
      <c r="AX126" s="35">
        <f t="shared" si="55"/>
        <v>394650.09381774906</v>
      </c>
      <c r="AY126" s="35">
        <f t="shared" si="56"/>
        <v>395797.61295266944</v>
      </c>
      <c r="AZ126" s="35">
        <f t="shared" si="57"/>
        <v>398052.05514719873</v>
      </c>
      <c r="BA126" s="35">
        <f t="shared" si="58"/>
        <v>400237.90692427679</v>
      </c>
      <c r="BB126" s="35">
        <f t="shared" si="59"/>
        <v>403611.45049907442</v>
      </c>
      <c r="BC126" s="27">
        <f t="shared" si="60"/>
        <v>406173.13488535449</v>
      </c>
      <c r="BE126">
        <f t="shared" si="61"/>
        <v>103.57479369744385</v>
      </c>
      <c r="BF126">
        <f t="shared" si="39"/>
        <v>101.26906786635826</v>
      </c>
      <c r="BG126">
        <f t="shared" si="39"/>
        <v>99.805867257890398</v>
      </c>
      <c r="BH126">
        <f t="shared" si="39"/>
        <v>98.694496549118995</v>
      </c>
      <c r="BI126">
        <f t="shared" si="39"/>
        <v>98.095109245113903</v>
      </c>
      <c r="BJ126">
        <f t="shared" si="39"/>
        <v>98.077133164683744</v>
      </c>
      <c r="BK126">
        <f t="shared" si="39"/>
        <v>98.055342414682428</v>
      </c>
      <c r="BL126">
        <f t="shared" si="39"/>
        <v>97.950683831518234</v>
      </c>
      <c r="BM126">
        <f t="shared" si="39"/>
        <v>97.654012211498596</v>
      </c>
      <c r="BN126">
        <f t="shared" si="39"/>
        <v>97.248427949979572</v>
      </c>
      <c r="BO126">
        <f t="shared" si="39"/>
        <v>96.888159158351655</v>
      </c>
      <c r="BP126">
        <f t="shared" si="39"/>
        <v>95.988868587053545</v>
      </c>
      <c r="BQ126">
        <f t="shared" si="39"/>
        <v>95.723622835122868</v>
      </c>
      <c r="BR126">
        <f t="shared" si="39"/>
        <v>95.180379446959094</v>
      </c>
      <c r="BS126">
        <f t="shared" si="39"/>
        <v>94.623636756449727</v>
      </c>
      <c r="BT126">
        <f t="shared" si="39"/>
        <v>93.700152952224201</v>
      </c>
      <c r="BU126">
        <f t="shared" si="39"/>
        <v>92.940700723797292</v>
      </c>
    </row>
    <row r="127" spans="1:73" x14ac:dyDescent="0.3">
      <c r="D127" s="19"/>
      <c r="G127" s="28"/>
      <c r="H127" s="12"/>
      <c r="M127" t="s">
        <v>48</v>
      </c>
      <c r="N127">
        <f>(M124/N126)^O66</f>
        <v>2.0045972929710292</v>
      </c>
      <c r="Q127">
        <v>-2.5428513000796613</v>
      </c>
      <c r="R127">
        <f t="shared" si="40"/>
        <v>113.19564869992034</v>
      </c>
      <c r="S127" s="21">
        <f t="shared" si="41"/>
        <v>3.7983684162243718</v>
      </c>
      <c r="T127" s="57">
        <f t="shared" si="42"/>
        <v>10.050714220549764</v>
      </c>
      <c r="U127" s="58">
        <f t="shared" si="30"/>
        <v>6.5943760149285229</v>
      </c>
      <c r="V127" s="58">
        <f t="shared" si="30"/>
        <v>5.4949023279149927</v>
      </c>
      <c r="W127" s="58">
        <f t="shared" si="30"/>
        <v>4.9095966566372251</v>
      </c>
      <c r="X127" s="58">
        <f t="shared" si="30"/>
        <v>4.6529547251384304</v>
      </c>
      <c r="Y127" s="58">
        <f t="shared" si="30"/>
        <v>4.6457783975590869</v>
      </c>
      <c r="Z127" s="58">
        <f t="shared" si="30"/>
        <v>4.6371170665641905</v>
      </c>
      <c r="AA127" s="58">
        <f t="shared" si="30"/>
        <v>4.5960871919027166</v>
      </c>
      <c r="AB127" s="58">
        <f t="shared" si="30"/>
        <v>4.4846834005985867</v>
      </c>
      <c r="AC127" s="58">
        <f t="shared" si="30"/>
        <v>4.3431776033798837</v>
      </c>
      <c r="AD127" s="58">
        <f t="shared" si="30"/>
        <v>4.2268849703799187</v>
      </c>
      <c r="AE127" s="58">
        <f t="shared" si="30"/>
        <v>3.9695774007868931</v>
      </c>
      <c r="AF127" s="58">
        <f t="shared" si="30"/>
        <v>3.9015052301736031</v>
      </c>
      <c r="AG127" s="58">
        <f t="shared" si="30"/>
        <v>3.7716570939520748</v>
      </c>
      <c r="AH127" s="58">
        <f t="shared" si="30"/>
        <v>3.6505015533190077</v>
      </c>
      <c r="AI127" s="58">
        <f t="shared" si="30"/>
        <v>3.4722204973895945</v>
      </c>
      <c r="AJ127" s="59">
        <f t="shared" si="30"/>
        <v>3.3435358793270096</v>
      </c>
      <c r="AL127">
        <f t="shared" si="43"/>
        <v>113.19564869992034</v>
      </c>
      <c r="AM127" s="26">
        <f t="shared" si="44"/>
        <v>337717.49454492534</v>
      </c>
      <c r="AN127" s="35">
        <f t="shared" si="45"/>
        <v>362800.18982337206</v>
      </c>
      <c r="AO127" s="35">
        <f t="shared" si="46"/>
        <v>374225.89844449819</v>
      </c>
      <c r="AP127" s="35">
        <f t="shared" si="47"/>
        <v>381460.21338181506</v>
      </c>
      <c r="AQ127" s="35">
        <f t="shared" si="48"/>
        <v>384957.8102753092</v>
      </c>
      <c r="AR127" s="35">
        <f t="shared" si="49"/>
        <v>385058.83498003625</v>
      </c>
      <c r="AS127" s="35">
        <f t="shared" si="50"/>
        <v>385181.00825050846</v>
      </c>
      <c r="AT127" s="35">
        <f t="shared" si="51"/>
        <v>385763.40978800645</v>
      </c>
      <c r="AU127" s="35">
        <f t="shared" si="52"/>
        <v>387375.92982523522</v>
      </c>
      <c r="AV127" s="35">
        <f t="shared" si="53"/>
        <v>389493.07963457541</v>
      </c>
      <c r="AW127" s="35">
        <f t="shared" si="54"/>
        <v>391294.33723203046</v>
      </c>
      <c r="AX127" s="35">
        <f t="shared" si="55"/>
        <v>395494.55545117817</v>
      </c>
      <c r="AY127" s="35">
        <f t="shared" si="56"/>
        <v>396659.22860532725</v>
      </c>
      <c r="AZ127" s="35">
        <f t="shared" si="57"/>
        <v>398948.24748182949</v>
      </c>
      <c r="BA127" s="35">
        <f t="shared" si="58"/>
        <v>401168.75849933736</v>
      </c>
      <c r="BB127" s="35">
        <f t="shared" si="59"/>
        <v>404598.05943326972</v>
      </c>
      <c r="BC127" s="27">
        <f t="shared" si="60"/>
        <v>407203.98352806986</v>
      </c>
      <c r="BE127">
        <f t="shared" si="61"/>
        <v>103.66260272981577</v>
      </c>
      <c r="BF127">
        <f t="shared" si="39"/>
        <v>101.39977986454947</v>
      </c>
      <c r="BG127">
        <f t="shared" si="39"/>
        <v>99.960369793169619</v>
      </c>
      <c r="BH127">
        <f t="shared" si="39"/>
        <v>98.865416104589471</v>
      </c>
      <c r="BI127">
        <f t="shared" si="39"/>
        <v>98.274319276215124</v>
      </c>
      <c r="BJ127">
        <f t="shared" si="39"/>
        <v>98.256585898944451</v>
      </c>
      <c r="BK127">
        <f t="shared" si="39"/>
        <v>98.235088896986241</v>
      </c>
      <c r="BL127">
        <f t="shared" si="39"/>
        <v>98.13183416443546</v>
      </c>
      <c r="BM127">
        <f t="shared" si="39"/>
        <v>97.839079529226083</v>
      </c>
      <c r="BN127">
        <f t="shared" si="39"/>
        <v>97.43870274365041</v>
      </c>
      <c r="BO127">
        <f t="shared" si="39"/>
        <v>97.082919140547418</v>
      </c>
      <c r="BP127">
        <f t="shared" si="39"/>
        <v>96.194262980790768</v>
      </c>
      <c r="BQ127">
        <f t="shared" si="39"/>
        <v>95.932004515721118</v>
      </c>
      <c r="BR127">
        <f t="shared" si="39"/>
        <v>95.394672842419808</v>
      </c>
      <c r="BS127">
        <f t="shared" si="39"/>
        <v>94.843707268984573</v>
      </c>
      <c r="BT127">
        <f t="shared" si="39"/>
        <v>93.929198505624186</v>
      </c>
      <c r="BU127">
        <f t="shared" si="39"/>
        <v>93.176579926446152</v>
      </c>
    </row>
    <row r="128" spans="1:73" x14ac:dyDescent="0.3">
      <c r="D128" s="19"/>
      <c r="G128" s="28"/>
      <c r="H128" s="12"/>
      <c r="M128" t="s">
        <v>49</v>
      </c>
      <c r="N128">
        <f>N127/(W75/100)</f>
        <v>76.123283933373486</v>
      </c>
      <c r="O128">
        <f>((N128*0.0323)+1.8946)</f>
        <v>4.3533820710479638</v>
      </c>
      <c r="Q128">
        <v>-2.0141923492686971</v>
      </c>
      <c r="R128">
        <f t="shared" si="40"/>
        <v>113.7243076507313</v>
      </c>
      <c r="S128" s="21">
        <f t="shared" si="41"/>
        <v>3.8506886885513012</v>
      </c>
      <c r="T128" s="57">
        <f t="shared" si="42"/>
        <v>10.277352531263164</v>
      </c>
      <c r="U128" s="58">
        <f t="shared" si="30"/>
        <v>6.7249712062110394</v>
      </c>
      <c r="V128" s="58">
        <f t="shared" si="30"/>
        <v>5.5949458554566132</v>
      </c>
      <c r="W128" s="58">
        <f t="shared" si="30"/>
        <v>4.993375982255932</v>
      </c>
      <c r="X128" s="58">
        <f t="shared" si="30"/>
        <v>4.7296026040607995</v>
      </c>
      <c r="Y128" s="58">
        <f t="shared" si="30"/>
        <v>4.7222268640264877</v>
      </c>
      <c r="Z128" s="58">
        <f t="shared" si="30"/>
        <v>4.7133248559919956</v>
      </c>
      <c r="AA128" s="58">
        <f t="shared" si="30"/>
        <v>4.6711548622455492</v>
      </c>
      <c r="AB128" s="58">
        <f t="shared" si="30"/>
        <v>4.5566554341730416</v>
      </c>
      <c r="AC128" s="58">
        <f t="shared" si="30"/>
        <v>4.4112175396380682</v>
      </c>
      <c r="AD128" s="58">
        <f t="shared" si="30"/>
        <v>4.291693421009187</v>
      </c>
      <c r="AE128" s="58">
        <f t="shared" si="30"/>
        <v>4.0272359082778699</v>
      </c>
      <c r="AF128" s="58">
        <f t="shared" si="30"/>
        <v>3.9572721798299044</v>
      </c>
      <c r="AG128" s="58">
        <f t="shared" si="30"/>
        <v>3.8238158839570078</v>
      </c>
      <c r="AH128" s="58">
        <f t="shared" si="30"/>
        <v>3.6992937294781632</v>
      </c>
      <c r="AI128" s="58">
        <f t="shared" si="30"/>
        <v>3.5160586824378552</v>
      </c>
      <c r="AJ128" s="59">
        <f t="shared" si="30"/>
        <v>3.38379823602566</v>
      </c>
      <c r="AL128">
        <f t="shared" si="43"/>
        <v>113.7243076507313</v>
      </c>
      <c r="AM128" s="26">
        <f t="shared" si="44"/>
        <v>338010.9670597635</v>
      </c>
      <c r="AN128" s="35">
        <f t="shared" si="45"/>
        <v>363281.45788149099</v>
      </c>
      <c r="AO128" s="35">
        <f t="shared" si="46"/>
        <v>374822.19857474958</v>
      </c>
      <c r="AP128" s="35">
        <f t="shared" si="47"/>
        <v>382140.95020802849</v>
      </c>
      <c r="AQ128" s="35">
        <f t="shared" si="48"/>
        <v>385682.92661016894</v>
      </c>
      <c r="AR128" s="35">
        <f t="shared" si="49"/>
        <v>385785.26928358915</v>
      </c>
      <c r="AS128" s="35">
        <f t="shared" si="50"/>
        <v>385909.03917960991</v>
      </c>
      <c r="AT128" s="35">
        <f t="shared" si="51"/>
        <v>386499.09341816709</v>
      </c>
      <c r="AU128" s="35">
        <f t="shared" si="52"/>
        <v>388133.16397312086</v>
      </c>
      <c r="AV128" s="35">
        <f t="shared" si="53"/>
        <v>390279.4316523294</v>
      </c>
      <c r="AW128" s="35">
        <f t="shared" si="54"/>
        <v>392106.21617866959</v>
      </c>
      <c r="AX128" s="35">
        <f t="shared" si="55"/>
        <v>396368.74603795429</v>
      </c>
      <c r="AY128" s="35">
        <f t="shared" si="56"/>
        <v>397551.40989254008</v>
      </c>
      <c r="AZ128" s="35">
        <f t="shared" si="57"/>
        <v>399876.71833358117</v>
      </c>
      <c r="BA128" s="35">
        <f t="shared" si="58"/>
        <v>402133.64087933814</v>
      </c>
      <c r="BB128" s="35">
        <f t="shared" si="59"/>
        <v>405621.59196257085</v>
      </c>
      <c r="BC128" s="27">
        <f t="shared" si="60"/>
        <v>408274.11546794174</v>
      </c>
      <c r="BE128">
        <f t="shared" si="61"/>
        <v>103.75268430749294</v>
      </c>
      <c r="BF128">
        <f t="shared" si="39"/>
        <v>101.534290475398</v>
      </c>
      <c r="BG128">
        <f>((AO128/AO$122*100)/88.9428348*100)</f>
        <v>100.11964893920255</v>
      </c>
      <c r="BH128">
        <f t="shared" si="39"/>
        <v>99.04184690187931</v>
      </c>
      <c r="BI128">
        <f t="shared" si="39"/>
        <v>98.459431286680484</v>
      </c>
      <c r="BJ128">
        <f t="shared" si="39"/>
        <v>98.441952258739008</v>
      </c>
      <c r="BK128">
        <f t="shared" si="39"/>
        <v>98.420763116400309</v>
      </c>
      <c r="BL128">
        <f t="shared" si="39"/>
        <v>98.318979917922263</v>
      </c>
      <c r="BM128">
        <f t="shared" si="39"/>
        <v>98.030333260583774</v>
      </c>
      <c r="BN128">
        <f t="shared" si="39"/>
        <v>97.635422851185254</v>
      </c>
      <c r="BO128">
        <f t="shared" si="39"/>
        <v>97.284352104505032</v>
      </c>
      <c r="BP128">
        <f t="shared" si="39"/>
        <v>96.406888206702519</v>
      </c>
      <c r="BQ128">
        <f t="shared" si="39"/>
        <v>96.147778492730737</v>
      </c>
      <c r="BR128">
        <f t="shared" si="39"/>
        <v>95.616684528661409</v>
      </c>
      <c r="BS128">
        <f t="shared" si="39"/>
        <v>95.07182329262541</v>
      </c>
      <c r="BT128">
        <f t="shared" si="39"/>
        <v>94.166816032154969</v>
      </c>
      <c r="BU128">
        <f t="shared" si="39"/>
        <v>93.421447949011636</v>
      </c>
    </row>
    <row r="129" spans="1:73" x14ac:dyDescent="0.3">
      <c r="A129">
        <v>2009</v>
      </c>
      <c r="B129">
        <f t="shared" ref="B129" si="62">S75</f>
        <v>100</v>
      </c>
      <c r="C129">
        <f>'Charts  ST Demand &amp; Market Tigh'!C65</f>
        <v>100.0825</v>
      </c>
      <c r="D129" s="19">
        <f>B129-C129</f>
        <v>-8.2499999999996021E-2</v>
      </c>
      <c r="E129">
        <f t="shared" ref="E129:E145" si="63">D129*3+100</f>
        <v>99.752500000000012</v>
      </c>
      <c r="F129">
        <v>100</v>
      </c>
      <c r="G129" s="28"/>
      <c r="H129" s="12"/>
      <c r="I129">
        <v>-8.9737782128411823</v>
      </c>
      <c r="Q129">
        <v>-1.6351181082942787</v>
      </c>
      <c r="R129">
        <f t="shared" si="40"/>
        <v>114.10338189170572</v>
      </c>
      <c r="S129" s="21">
        <f t="shared" si="41"/>
        <v>3.8889429768327641</v>
      </c>
      <c r="T129" s="57">
        <f t="shared" si="42"/>
        <v>10.443060523367626</v>
      </c>
      <c r="U129" s="58">
        <f t="shared" si="30"/>
        <v>6.8204566819799179</v>
      </c>
      <c r="V129" s="58">
        <f t="shared" si="30"/>
        <v>5.668093294738993</v>
      </c>
      <c r="W129" s="58">
        <f t="shared" si="30"/>
        <v>5.054631750464063</v>
      </c>
      <c r="X129" s="58">
        <f t="shared" si="30"/>
        <v>4.7856441712402908</v>
      </c>
      <c r="Y129" s="58">
        <f t="shared" si="30"/>
        <v>4.7781226295654307</v>
      </c>
      <c r="Z129" s="58">
        <f t="shared" si="30"/>
        <v>4.7690446490360348</v>
      </c>
      <c r="AA129" s="58">
        <f t="shared" si="30"/>
        <v>4.7260410502219532</v>
      </c>
      <c r="AB129" s="58">
        <f t="shared" si="30"/>
        <v>4.609278228323582</v>
      </c>
      <c r="AC129" s="58">
        <f t="shared" si="30"/>
        <v>4.4609653566985177</v>
      </c>
      <c r="AD129" s="58">
        <f t="shared" si="30"/>
        <v>4.3390785175154765</v>
      </c>
      <c r="AE129" s="58">
        <f t="shared" si="30"/>
        <v>4.06939327996845</v>
      </c>
      <c r="AF129" s="58">
        <f t="shared" si="30"/>
        <v>3.9980465273982722</v>
      </c>
      <c r="AG129" s="58">
        <f t="shared" si="30"/>
        <v>3.8619521034474786</v>
      </c>
      <c r="AH129" s="58">
        <f t="shared" si="30"/>
        <v>3.7349684285892284</v>
      </c>
      <c r="AI129" s="58">
        <f t="shared" si="30"/>
        <v>3.5481112405379616</v>
      </c>
      <c r="AJ129" s="59">
        <f t="shared" si="30"/>
        <v>3.4132363052776142</v>
      </c>
      <c r="AL129">
        <f t="shared" si="43"/>
        <v>114.10338189170572</v>
      </c>
      <c r="AM129" s="26">
        <f t="shared" si="44"/>
        <v>338216.73647568165</v>
      </c>
      <c r="AN129" s="35">
        <f t="shared" si="45"/>
        <v>363619.80738566391</v>
      </c>
      <c r="AO129" s="35">
        <f t="shared" si="46"/>
        <v>375242.07727851893</v>
      </c>
      <c r="AP129" s="35">
        <f t="shared" si="47"/>
        <v>382620.8227155304</v>
      </c>
      <c r="AQ129" s="35">
        <f t="shared" si="48"/>
        <v>386194.38136226375</v>
      </c>
      <c r="AR129" s="35">
        <f t="shared" si="49"/>
        <v>386297.66247581929</v>
      </c>
      <c r="AS129" s="35">
        <f t="shared" si="50"/>
        <v>386422.56926558615</v>
      </c>
      <c r="AT129" s="35">
        <f t="shared" si="51"/>
        <v>387018.07329893316</v>
      </c>
      <c r="AU129" s="35">
        <f t="shared" si="52"/>
        <v>388667.49625307287</v>
      </c>
      <c r="AV129" s="35">
        <f t="shared" si="53"/>
        <v>390834.51989613537</v>
      </c>
      <c r="AW129" s="35">
        <f t="shared" si="54"/>
        <v>392679.51258448116</v>
      </c>
      <c r="AX129" s="35">
        <f t="shared" si="55"/>
        <v>396986.53533392999</v>
      </c>
      <c r="AY129" s="35">
        <f t="shared" si="56"/>
        <v>398182.05744253658</v>
      </c>
      <c r="AZ129" s="35">
        <f t="shared" si="57"/>
        <v>400533.31919928506</v>
      </c>
      <c r="BA129" s="35">
        <f t="shared" si="58"/>
        <v>402816.30445265252</v>
      </c>
      <c r="BB129" s="35">
        <f t="shared" si="59"/>
        <v>406346.28268422245</v>
      </c>
      <c r="BC129" s="27">
        <f t="shared" si="60"/>
        <v>409032.23873148055</v>
      </c>
      <c r="BE129">
        <f t="shared" si="61"/>
        <v>103.81584536240072</v>
      </c>
      <c r="BF129">
        <f t="shared" si="39"/>
        <v>101.6288564822601</v>
      </c>
      <c r="BG129">
        <f t="shared" si="39"/>
        <v>100.23180373840677</v>
      </c>
      <c r="BH129">
        <f t="shared" si="39"/>
        <v>99.166218444354797</v>
      </c>
      <c r="BI129">
        <f t="shared" si="39"/>
        <v>98.589998497582783</v>
      </c>
      <c r="BJ129">
        <f t="shared" si="39"/>
        <v>98.572701123932589</v>
      </c>
      <c r="BK129">
        <f t="shared" si="39"/>
        <v>98.55173186243556</v>
      </c>
      <c r="BL129">
        <f t="shared" si="39"/>
        <v>98.450999820022361</v>
      </c>
      <c r="BM129">
        <f t="shared" si="39"/>
        <v>98.165288931311281</v>
      </c>
      <c r="BN129">
        <f t="shared" si="39"/>
        <v>97.774288164108029</v>
      </c>
      <c r="BO129">
        <f t="shared" si="39"/>
        <v>97.42659103646271</v>
      </c>
      <c r="BP129">
        <f t="shared" si="39"/>
        <v>96.557150164003062</v>
      </c>
      <c r="BQ129">
        <f t="shared" si="39"/>
        <v>96.300300555123727</v>
      </c>
      <c r="BR129">
        <f t="shared" si="39"/>
        <v>95.773687912351491</v>
      </c>
      <c r="BS129">
        <f t="shared" si="39"/>
        <v>95.233217575552175</v>
      </c>
      <c r="BT129">
        <f t="shared" si="39"/>
        <v>94.335056133811776</v>
      </c>
      <c r="BU129">
        <f t="shared" si="39"/>
        <v>93.594922020279796</v>
      </c>
    </row>
    <row r="130" spans="1:73" x14ac:dyDescent="0.3">
      <c r="A130">
        <v>2010</v>
      </c>
      <c r="B130">
        <f t="shared" ref="B130:B145" si="64">S76</f>
        <v>106.43783740245536</v>
      </c>
      <c r="C130">
        <f>'Charts  ST Demand &amp; Market Tigh'!C66</f>
        <v>101.06099999999999</v>
      </c>
      <c r="D130" s="19">
        <f>B130-C130</f>
        <v>5.3768374024553651</v>
      </c>
      <c r="E130">
        <f t="shared" si="63"/>
        <v>116.1305122073661</v>
      </c>
      <c r="F130">
        <v>100</v>
      </c>
      <c r="G130" s="28"/>
      <c r="H130" s="12"/>
      <c r="I130">
        <v>-6.64323172584605</v>
      </c>
      <c r="M130" s="17"/>
      <c r="Q130">
        <v>-0.66182253940235114</v>
      </c>
      <c r="R130">
        <f t="shared" si="40"/>
        <v>115.07667746059765</v>
      </c>
      <c r="S130" s="21">
        <f t="shared" si="41"/>
        <v>3.9900475412461702</v>
      </c>
      <c r="T130" s="57">
        <f t="shared" si="42"/>
        <v>10.881020164343617</v>
      </c>
      <c r="U130" s="58">
        <f t="shared" si="30"/>
        <v>7.072821001618756</v>
      </c>
      <c r="V130" s="58">
        <f t="shared" si="30"/>
        <v>5.8614190712424525</v>
      </c>
      <c r="W130" s="58">
        <f t="shared" si="30"/>
        <v>5.2165283126722937</v>
      </c>
      <c r="X130" s="58">
        <f t="shared" si="30"/>
        <v>4.9337598072452789</v>
      </c>
      <c r="Y130" s="58">
        <f t="shared" si="30"/>
        <v>4.9258529176258987</v>
      </c>
      <c r="Z130" s="58">
        <f t="shared" si="30"/>
        <v>4.9163098487823449</v>
      </c>
      <c r="AA130" s="58">
        <f t="shared" si="30"/>
        <v>4.8711030648864835</v>
      </c>
      <c r="AB130" s="58">
        <f t="shared" si="30"/>
        <v>4.7483581830115602</v>
      </c>
      <c r="AC130" s="58">
        <f t="shared" si="30"/>
        <v>4.5924468611355449</v>
      </c>
      <c r="AD130" s="58">
        <f t="shared" si="30"/>
        <v>4.4643154453784666</v>
      </c>
      <c r="AE130" s="58">
        <f t="shared" si="30"/>
        <v>4.1808135387961478</v>
      </c>
      <c r="AF130" s="58">
        <f t="shared" si="30"/>
        <v>4.1058115084066475</v>
      </c>
      <c r="AG130" s="58">
        <f t="shared" si="30"/>
        <v>3.9627446167361517</v>
      </c>
      <c r="AH130" s="58">
        <f t="shared" si="30"/>
        <v>3.8292552412902099</v>
      </c>
      <c r="AI130" s="58">
        <f t="shared" si="30"/>
        <v>3.6328248784235457</v>
      </c>
      <c r="AJ130" s="59">
        <f t="shared" si="30"/>
        <v>3.4910399529887322</v>
      </c>
      <c r="AL130">
        <f t="shared" si="43"/>
        <v>115.07667746059765</v>
      </c>
      <c r="AM130" s="26">
        <f t="shared" si="44"/>
        <v>338727.75433423085</v>
      </c>
      <c r="AN130" s="35">
        <f t="shared" si="45"/>
        <v>364463.35111706663</v>
      </c>
      <c r="AO130" s="35">
        <f t="shared" si="46"/>
        <v>376291.27284524753</v>
      </c>
      <c r="AP130" s="35">
        <f t="shared" si="47"/>
        <v>383821.89981965453</v>
      </c>
      <c r="AQ130" s="35">
        <f t="shared" si="48"/>
        <v>387475.59782521037</v>
      </c>
      <c r="AR130" s="35">
        <f t="shared" si="49"/>
        <v>387581.26215329854</v>
      </c>
      <c r="AS130" s="35">
        <f t="shared" si="50"/>
        <v>387709.05628987931</v>
      </c>
      <c r="AT130" s="35">
        <f t="shared" si="51"/>
        <v>388318.40333608445</v>
      </c>
      <c r="AU130" s="35">
        <f t="shared" si="52"/>
        <v>390006.84310552978</v>
      </c>
      <c r="AV130" s="35">
        <f t="shared" si="53"/>
        <v>392226.6635818184</v>
      </c>
      <c r="AW130" s="35">
        <f t="shared" si="54"/>
        <v>394118.01691797067</v>
      </c>
      <c r="AX130" s="35">
        <f t="shared" si="55"/>
        <v>398538.49979322247</v>
      </c>
      <c r="AY130" s="35">
        <f t="shared" si="56"/>
        <v>399766.85738396866</v>
      </c>
      <c r="AZ130" s="35">
        <f t="shared" si="57"/>
        <v>402184.45738648775</v>
      </c>
      <c r="BA130" s="35">
        <f t="shared" si="58"/>
        <v>404534.14443135168</v>
      </c>
      <c r="BB130" s="35">
        <f t="shared" si="59"/>
        <v>408171.85836548219</v>
      </c>
      <c r="BC130" s="27">
        <f t="shared" si="60"/>
        <v>410943.67289726989</v>
      </c>
      <c r="BE130">
        <f t="shared" si="61"/>
        <v>103.97270262361549</v>
      </c>
      <c r="BF130">
        <f t="shared" si="39"/>
        <v>101.86462027475424</v>
      </c>
      <c r="BG130">
        <f t="shared" si="39"/>
        <v>100.51205686164457</v>
      </c>
      <c r="BH130">
        <f t="shared" si="39"/>
        <v>99.477509067878032</v>
      </c>
      <c r="BI130">
        <f t="shared" si="39"/>
        <v>98.917075056054259</v>
      </c>
      <c r="BJ130">
        <f t="shared" si="39"/>
        <v>98.900240997096731</v>
      </c>
      <c r="BK130">
        <f t="shared" si="39"/>
        <v>98.879832585184744</v>
      </c>
      <c r="BL130">
        <f t="shared" si="39"/>
        <v>98.781782284940149</v>
      </c>
      <c r="BM130">
        <f t="shared" si="39"/>
        <v>98.503566178619522</v>
      </c>
      <c r="BN130">
        <f t="shared" si="39"/>
        <v>98.12255795851101</v>
      </c>
      <c r="BO130">
        <f t="shared" si="39"/>
        <v>97.783494233374228</v>
      </c>
      <c r="BP130">
        <f t="shared" si="39"/>
        <v>96.934627110970666</v>
      </c>
      <c r="BQ130">
        <f t="shared" si="39"/>
        <v>96.683584301407748</v>
      </c>
      <c r="BR130">
        <f t="shared" si="39"/>
        <v>96.168500493131148</v>
      </c>
      <c r="BS130">
        <f t="shared" si="39"/>
        <v>95.639346688607162</v>
      </c>
      <c r="BT130">
        <f t="shared" si="39"/>
        <v>94.758871464988275</v>
      </c>
      <c r="BU130">
        <f t="shared" si="39"/>
        <v>94.032297157869877</v>
      </c>
    </row>
    <row r="131" spans="1:73" x14ac:dyDescent="0.3">
      <c r="A131">
        <v>2011</v>
      </c>
      <c r="B131">
        <f t="shared" si="64"/>
        <v>104.52058956893215</v>
      </c>
      <c r="C131">
        <f>'Charts  ST Demand &amp; Market Tigh'!C67</f>
        <v>102.0395</v>
      </c>
      <c r="D131" s="19">
        <f>B131-C131</f>
        <v>2.4810895689321484</v>
      </c>
      <c r="E131">
        <f t="shared" si="63"/>
        <v>107.44326870679645</v>
      </c>
      <c r="F131">
        <v>100</v>
      </c>
      <c r="G131" s="28"/>
      <c r="H131" s="12"/>
      <c r="I131">
        <v>-3.0506116050937635</v>
      </c>
      <c r="M131" t="s">
        <v>50</v>
      </c>
      <c r="Q131">
        <v>-8.2499999999996021E-2</v>
      </c>
      <c r="R131">
        <f t="shared" si="40"/>
        <v>115.65600000000001</v>
      </c>
      <c r="S131" s="21">
        <f t="shared" si="41"/>
        <v>4.0522412940831192</v>
      </c>
      <c r="T131" s="57">
        <f t="shared" si="42"/>
        <v>11.150427918795192</v>
      </c>
      <c r="U131" s="58">
        <f t="shared" si="30"/>
        <v>7.2280611157673693</v>
      </c>
      <c r="V131" s="58">
        <f t="shared" si="30"/>
        <v>5.9803420459926713</v>
      </c>
      <c r="W131" s="58">
        <f t="shared" si="30"/>
        <v>5.316117830055104</v>
      </c>
      <c r="X131" s="58">
        <f t="shared" si="30"/>
        <v>5.0248720860076466</v>
      </c>
      <c r="Y131" s="58">
        <f t="shared" si="30"/>
        <v>5.0167281523442417</v>
      </c>
      <c r="Z131" s="58">
        <f t="shared" si="30"/>
        <v>5.0068989877361112</v>
      </c>
      <c r="AA131" s="58">
        <f t="shared" si="30"/>
        <v>4.9603369302259921</v>
      </c>
      <c r="AB131" s="58">
        <f t="shared" si="30"/>
        <v>4.8339122267545278</v>
      </c>
      <c r="AC131" s="58">
        <f t="shared" si="30"/>
        <v>4.6733267723149305</v>
      </c>
      <c r="AD131" s="58">
        <f t="shared" si="30"/>
        <v>4.5413540497457374</v>
      </c>
      <c r="AE131" s="58">
        <f t="shared" si="30"/>
        <v>4.2493529175943614</v>
      </c>
      <c r="AF131" s="58">
        <f t="shared" si="30"/>
        <v>4.1721023690834045</v>
      </c>
      <c r="AG131" s="58">
        <f t="shared" si="30"/>
        <v>4.0247464135458255</v>
      </c>
      <c r="AH131" s="58">
        <f t="shared" si="30"/>
        <v>3.8872551027102258</v>
      </c>
      <c r="AI131" s="58">
        <f t="shared" si="30"/>
        <v>3.6849358695261025</v>
      </c>
      <c r="AJ131" s="59">
        <f t="shared" si="30"/>
        <v>3.5389003128412559</v>
      </c>
      <c r="AL131">
        <f t="shared" si="43"/>
        <v>115.65600000000001</v>
      </c>
      <c r="AM131" s="26">
        <f t="shared" si="44"/>
        <v>339020.46117233962</v>
      </c>
      <c r="AN131" s="35">
        <f t="shared" si="45"/>
        <v>364948.65084218309</v>
      </c>
      <c r="AO131" s="35">
        <f t="shared" si="46"/>
        <v>376896.45021296619</v>
      </c>
      <c r="AP131" s="35">
        <f t="shared" si="47"/>
        <v>384515.97665795177</v>
      </c>
      <c r="AQ131" s="35">
        <f t="shared" si="48"/>
        <v>388216.70516010927</v>
      </c>
      <c r="AR131" s="35">
        <f t="shared" si="49"/>
        <v>388323.76939313742</v>
      </c>
      <c r="AS131" s="35">
        <f t="shared" si="50"/>
        <v>388453.25966286479</v>
      </c>
      <c r="AT131" s="35">
        <f t="shared" si="51"/>
        <v>389070.74012087577</v>
      </c>
      <c r="AU131" s="35">
        <f t="shared" si="52"/>
        <v>390782.11759012152</v>
      </c>
      <c r="AV131" s="35">
        <f t="shared" si="53"/>
        <v>393033.00860717997</v>
      </c>
      <c r="AW131" s="35">
        <f t="shared" si="54"/>
        <v>394951.67476435803</v>
      </c>
      <c r="AX131" s="35">
        <f t="shared" si="55"/>
        <v>399439.11876289599</v>
      </c>
      <c r="AY131" s="35">
        <f t="shared" si="56"/>
        <v>400686.88595155085</v>
      </c>
      <c r="AZ131" s="35">
        <f t="shared" si="57"/>
        <v>403143.74182332435</v>
      </c>
      <c r="BA131" s="35">
        <f t="shared" si="58"/>
        <v>405532.95664114592</v>
      </c>
      <c r="BB131" s="35">
        <f t="shared" si="59"/>
        <v>409234.63490946509</v>
      </c>
      <c r="BC131" s="27">
        <f t="shared" si="60"/>
        <v>412057.53030574066</v>
      </c>
      <c r="BE131">
        <f t="shared" si="61"/>
        <v>104.06254917632683</v>
      </c>
      <c r="BF131">
        <f t="shared" si="39"/>
        <v>102.00025770459985</v>
      </c>
      <c r="BG131">
        <f t="shared" si="39"/>
        <v>100.67370722769103</v>
      </c>
      <c r="BH131">
        <f t="shared" si="39"/>
        <v>99.657397279071716</v>
      </c>
      <c r="BI131">
        <f t="shared" si="39"/>
        <v>99.106269344113272</v>
      </c>
      <c r="BJ131">
        <f t="shared" si="39"/>
        <v>99.089708734918162</v>
      </c>
      <c r="BK131">
        <f t="shared" si="39"/>
        <v>99.069631362737979</v>
      </c>
      <c r="BL131">
        <f t="shared" si="39"/>
        <v>98.973164325661713</v>
      </c>
      <c r="BM131">
        <f t="shared" si="39"/>
        <v>98.699376336440054</v>
      </c>
      <c r="BN131">
        <f t="shared" si="39"/>
        <v>98.324279676670272</v>
      </c>
      <c r="BO131">
        <f t="shared" si="39"/>
        <v>97.990330697873617</v>
      </c>
      <c r="BP131">
        <f t="shared" si="39"/>
        <v>97.153680386977058</v>
      </c>
      <c r="BQ131">
        <f t="shared" si="39"/>
        <v>96.906093141073995</v>
      </c>
      <c r="BR131">
        <f t="shared" si="39"/>
        <v>96.397880182332628</v>
      </c>
      <c r="BS131">
        <f t="shared" si="39"/>
        <v>95.875484350963475</v>
      </c>
      <c r="BT131">
        <f t="shared" si="39"/>
        <v>95.005599660142565</v>
      </c>
      <c r="BU131">
        <f t="shared" si="39"/>
        <v>94.287170459815073</v>
      </c>
    </row>
    <row r="132" spans="1:73" x14ac:dyDescent="0.3">
      <c r="A132">
        <v>2012</v>
      </c>
      <c r="B132">
        <f t="shared" si="64"/>
        <v>94.044221787158818</v>
      </c>
      <c r="C132">
        <f>'Charts  ST Demand &amp; Market Tigh'!C68</f>
        <v>103.018</v>
      </c>
      <c r="D132" s="19">
        <f>B132-C132</f>
        <v>-8.9737782128411823</v>
      </c>
      <c r="E132">
        <f t="shared" si="63"/>
        <v>73.078665361476453</v>
      </c>
      <c r="F132">
        <v>100</v>
      </c>
      <c r="G132" s="28"/>
      <c r="H132" s="12"/>
      <c r="I132">
        <v>-3.0452326880442797</v>
      </c>
      <c r="M132" t="s">
        <v>51</v>
      </c>
      <c r="N132">
        <f>O128^O65</f>
        <v>0.77875248707963851</v>
      </c>
      <c r="Q132">
        <v>1.7801719972506334</v>
      </c>
      <c r="R132">
        <f t="shared" si="40"/>
        <v>117.51867199725064</v>
      </c>
      <c r="S132" s="21">
        <f t="shared" si="41"/>
        <v>4.2627960468337251</v>
      </c>
      <c r="T132" s="57">
        <f t="shared" si="42"/>
        <v>12.06249835256304</v>
      </c>
      <c r="U132" s="58">
        <f t="shared" si="30"/>
        <v>7.7536210371509444</v>
      </c>
      <c r="V132" s="58">
        <f t="shared" si="30"/>
        <v>6.3829515751288994</v>
      </c>
      <c r="W132" s="58">
        <f t="shared" si="30"/>
        <v>5.6532746223789818</v>
      </c>
      <c r="X132" s="58">
        <f t="shared" si="30"/>
        <v>5.3333294865065124</v>
      </c>
      <c r="Y132" s="58">
        <f t="shared" si="30"/>
        <v>5.3243830486074906</v>
      </c>
      <c r="Z132" s="58">
        <f t="shared" si="30"/>
        <v>5.313585316896952</v>
      </c>
      <c r="AA132" s="58">
        <f t="shared" si="30"/>
        <v>5.2624350284513657</v>
      </c>
      <c r="AB132" s="58">
        <f t="shared" si="30"/>
        <v>5.1235524189831807</v>
      </c>
      <c r="AC132" s="58">
        <f t="shared" si="30"/>
        <v>4.9471428538997237</v>
      </c>
      <c r="AD132" s="58">
        <f t="shared" si="30"/>
        <v>4.8021655228422073</v>
      </c>
      <c r="AE132" s="58">
        <f t="shared" si="30"/>
        <v>4.4813905628281514</v>
      </c>
      <c r="AF132" s="58">
        <f t="shared" si="30"/>
        <v>4.3965277356634278</v>
      </c>
      <c r="AG132" s="58">
        <f t="shared" si="30"/>
        <v>4.2346513059484359</v>
      </c>
      <c r="AH132" s="58">
        <f t="shared" si="30"/>
        <v>4.0836115842506917</v>
      </c>
      <c r="AI132" s="58">
        <f t="shared" si="30"/>
        <v>3.8613557886770371</v>
      </c>
      <c r="AJ132" s="59">
        <f t="shared" si="30"/>
        <v>3.7009298700818758</v>
      </c>
      <c r="AL132">
        <f t="shared" si="43"/>
        <v>117.51867199725064</v>
      </c>
      <c r="AM132" s="26">
        <f t="shared" si="44"/>
        <v>339906.79215070431</v>
      </c>
      <c r="AN132" s="35">
        <f t="shared" si="45"/>
        <v>366427.78831119102</v>
      </c>
      <c r="AO132" s="35">
        <f t="shared" si="46"/>
        <v>378748.14535480773</v>
      </c>
      <c r="AP132" s="35">
        <f t="shared" si="47"/>
        <v>386645.68182311853</v>
      </c>
      <c r="AQ132" s="35">
        <f t="shared" si="48"/>
        <v>390494.07422291423</v>
      </c>
      <c r="AR132" s="35">
        <f t="shared" si="49"/>
        <v>390605.54001162306</v>
      </c>
      <c r="AS132" s="35">
        <f t="shared" si="50"/>
        <v>390740.36371236178</v>
      </c>
      <c r="AT132" s="35">
        <f t="shared" si="51"/>
        <v>391383.42670254293</v>
      </c>
      <c r="AU132" s="35">
        <f t="shared" si="52"/>
        <v>393167.01661630993</v>
      </c>
      <c r="AV132" s="35">
        <f t="shared" si="53"/>
        <v>395515.87676503899</v>
      </c>
      <c r="AW132" s="35">
        <f t="shared" si="54"/>
        <v>397520.80846276577</v>
      </c>
      <c r="AX132" s="35">
        <f t="shared" si="55"/>
        <v>402220.31622723438</v>
      </c>
      <c r="AY132" s="35">
        <f t="shared" si="56"/>
        <v>403529.70449229819</v>
      </c>
      <c r="AZ132" s="35">
        <f t="shared" si="57"/>
        <v>406111.39641384699</v>
      </c>
      <c r="BA132" s="35">
        <f t="shared" si="58"/>
        <v>408626.59209616121</v>
      </c>
      <c r="BB132" s="35">
        <f t="shared" si="59"/>
        <v>412532.72823432315</v>
      </c>
      <c r="BC132" s="27">
        <f t="shared" si="60"/>
        <v>415519.42648350622</v>
      </c>
      <c r="BE132">
        <f t="shared" si="61"/>
        <v>104.33460904169196</v>
      </c>
      <c r="BF132">
        <f t="shared" si="39"/>
        <v>102.41366491317885</v>
      </c>
      <c r="BG132">
        <f t="shared" si="39"/>
        <v>101.16831792110392</v>
      </c>
      <c r="BH132">
        <f t="shared" si="39"/>
        <v>100.20936621304688</v>
      </c>
      <c r="BI132">
        <f t="shared" si="39"/>
        <v>99.68764966271965</v>
      </c>
      <c r="BJ132">
        <f t="shared" si="39"/>
        <v>99.671954798142622</v>
      </c>
      <c r="BK132">
        <f t="shared" si="39"/>
        <v>99.652925618702099</v>
      </c>
      <c r="BL132">
        <f t="shared" si="39"/>
        <v>99.561473559632873</v>
      </c>
      <c r="BM132">
        <f t="shared" si="39"/>
        <v>99.301727457217453</v>
      </c>
      <c r="BN132">
        <f t="shared" si="39"/>
        <v>98.945413825221195</v>
      </c>
      <c r="BO132">
        <f t="shared" si="39"/>
        <v>98.627751113584551</v>
      </c>
      <c r="BP132">
        <f t="shared" si="39"/>
        <v>97.830137841570505</v>
      </c>
      <c r="BQ132">
        <f t="shared" si="39"/>
        <v>97.593628590702224</v>
      </c>
      <c r="BR132">
        <f t="shared" si="39"/>
        <v>97.107492119618058</v>
      </c>
      <c r="BS132">
        <f t="shared" si="39"/>
        <v>96.606876936442958</v>
      </c>
      <c r="BT132">
        <f t="shared" si="39"/>
        <v>95.771266364116855</v>
      </c>
      <c r="BU132">
        <f t="shared" si="39"/>
        <v>95.079322941011014</v>
      </c>
    </row>
    <row r="133" spans="1:73" x14ac:dyDescent="0.3">
      <c r="A133">
        <v>2013</v>
      </c>
      <c r="B133">
        <f t="shared" si="64"/>
        <v>105.77667199725063</v>
      </c>
      <c r="C133">
        <f>'Charts  ST Demand &amp; Market Tigh'!C69</f>
        <v>103.9965</v>
      </c>
      <c r="D133" s="19">
        <f>B133-C133</f>
        <v>1.7801719972506334</v>
      </c>
      <c r="E133">
        <f t="shared" si="63"/>
        <v>105.3405159917519</v>
      </c>
      <c r="F133">
        <v>100</v>
      </c>
      <c r="G133" s="28"/>
      <c r="H133" s="12"/>
      <c r="I133">
        <v>-2.5428513000796613</v>
      </c>
      <c r="M133" t="s">
        <v>52</v>
      </c>
      <c r="N133">
        <f>N132*N126</f>
        <v>407622.09511770919</v>
      </c>
      <c r="P133" s="33"/>
      <c r="Q133">
        <v>1.9660931748619106</v>
      </c>
      <c r="R133" s="33">
        <f t="shared" si="40"/>
        <v>117.70459317486191</v>
      </c>
      <c r="S133" s="34">
        <f t="shared" si="41"/>
        <v>4.2847250255528353</v>
      </c>
      <c r="T133" s="57">
        <f t="shared" si="42"/>
        <v>12.157489194000446</v>
      </c>
      <c r="U133" s="58">
        <f t="shared" si="30"/>
        <v>7.8083573571868463</v>
      </c>
      <c r="V133" s="58">
        <f t="shared" si="30"/>
        <v>6.4248827862804081</v>
      </c>
      <c r="W133" s="58">
        <f t="shared" si="30"/>
        <v>5.6883890238697496</v>
      </c>
      <c r="X133" s="58">
        <f t="shared" si="30"/>
        <v>5.365454887063505</v>
      </c>
      <c r="Y133" s="58">
        <f t="shared" si="30"/>
        <v>5.3564248694871068</v>
      </c>
      <c r="Z133" s="58">
        <f t="shared" si="30"/>
        <v>5.3455262628872617</v>
      </c>
      <c r="AA133" s="58">
        <f t="shared" si="30"/>
        <v>5.2938981167005057</v>
      </c>
      <c r="AB133" s="58">
        <f t="shared" si="30"/>
        <v>5.1537180340006863</v>
      </c>
      <c r="AC133" s="58">
        <f t="shared" si="30"/>
        <v>4.9756604102482846</v>
      </c>
      <c r="AD133" s="58">
        <f t="shared" si="30"/>
        <v>4.829328667670417</v>
      </c>
      <c r="AE133" s="58">
        <f t="shared" si="30"/>
        <v>4.5055569543148879</v>
      </c>
      <c r="AF133" s="58">
        <f t="shared" si="30"/>
        <v>4.4199013191302932</v>
      </c>
      <c r="AG133" s="58">
        <f t="shared" si="30"/>
        <v>4.2565126026344622</v>
      </c>
      <c r="AH133" s="58">
        <f t="shared" si="30"/>
        <v>4.1040618331707917</v>
      </c>
      <c r="AI133" s="58">
        <f t="shared" si="30"/>
        <v>3.8797296729145043</v>
      </c>
      <c r="AJ133" s="59">
        <f t="shared" si="30"/>
        <v>3.7178050185464886</v>
      </c>
      <c r="AL133">
        <f t="shared" si="43"/>
        <v>117.70459317486191</v>
      </c>
      <c r="AM133" s="26">
        <f t="shared" si="44"/>
        <v>339990.86789134267</v>
      </c>
      <c r="AN133" s="35">
        <f t="shared" si="45"/>
        <v>366568.85924454749</v>
      </c>
      <c r="AO133" s="35">
        <f t="shared" si="46"/>
        <v>378925.32194135472</v>
      </c>
      <c r="AP133" s="35">
        <f t="shared" si="47"/>
        <v>386849.94061764644</v>
      </c>
      <c r="AQ133" s="35">
        <f t="shared" si="48"/>
        <v>390712.7653302215</v>
      </c>
      <c r="AR133" s="35">
        <f t="shared" si="49"/>
        <v>390824.66182060831</v>
      </c>
      <c r="AS133" s="35">
        <f t="shared" si="50"/>
        <v>390960.00744804449</v>
      </c>
      <c r="AT133" s="35">
        <f t="shared" si="51"/>
        <v>391605.57452510891</v>
      </c>
      <c r="AU133" s="35">
        <f t="shared" si="52"/>
        <v>393396.23808211909</v>
      </c>
      <c r="AV133" s="35">
        <f t="shared" si="53"/>
        <v>395754.70736155304</v>
      </c>
      <c r="AW133" s="35">
        <f t="shared" si="54"/>
        <v>397768.11210194335</v>
      </c>
      <c r="AX133" s="35">
        <f t="shared" si="55"/>
        <v>402488.49574078876</v>
      </c>
      <c r="AY133" s="35">
        <f t="shared" si="56"/>
        <v>403803.96251339902</v>
      </c>
      <c r="AZ133" s="35">
        <f t="shared" si="57"/>
        <v>406397.98575962696</v>
      </c>
      <c r="BA133" s="35">
        <f t="shared" si="58"/>
        <v>408925.648958901</v>
      </c>
      <c r="BB133" s="35">
        <f t="shared" si="59"/>
        <v>412852.06814587821</v>
      </c>
      <c r="BC133" s="27">
        <f t="shared" si="60"/>
        <v>415855.05998502002</v>
      </c>
      <c r="BE133">
        <f t="shared" si="61"/>
        <v>104.36041614449766</v>
      </c>
      <c r="BF133">
        <f t="shared" si="39"/>
        <v>102.45309312184267</v>
      </c>
      <c r="BG133">
        <f t="shared" si="39"/>
        <v>101.21564398053364</v>
      </c>
      <c r="BH133">
        <f t="shared" si="39"/>
        <v>100.26230523527151</v>
      </c>
      <c r="BI133">
        <f t="shared" si="39"/>
        <v>99.74347842922009</v>
      </c>
      <c r="BJ133">
        <f t="shared" si="39"/>
        <v>99.727868749183386</v>
      </c>
      <c r="BK133">
        <f t="shared" si="39"/>
        <v>99.708942715698797</v>
      </c>
      <c r="BL133">
        <f t="shared" si="39"/>
        <v>99.617984293235139</v>
      </c>
      <c r="BM133">
        <f t="shared" si="39"/>
        <v>99.359621651193891</v>
      </c>
      <c r="BN133">
        <f t="shared" si="39"/>
        <v>99.005161596662091</v>
      </c>
      <c r="BO133">
        <f t="shared" si="39"/>
        <v>98.689108912358947</v>
      </c>
      <c r="BP133">
        <f t="shared" si="39"/>
        <v>97.895365871381131</v>
      </c>
      <c r="BQ133">
        <f t="shared" si="39"/>
        <v>97.659957872416484</v>
      </c>
      <c r="BR133">
        <f t="shared" si="39"/>
        <v>97.176020047872839</v>
      </c>
      <c r="BS133">
        <f t="shared" si="39"/>
        <v>96.677579504740066</v>
      </c>
      <c r="BT133">
        <f t="shared" si="39"/>
        <v>95.845402512928928</v>
      </c>
      <c r="BU133">
        <f t="shared" si="39"/>
        <v>95.156122734345132</v>
      </c>
    </row>
    <row r="134" spans="1:73" x14ac:dyDescent="0.3">
      <c r="A134">
        <v>2014</v>
      </c>
      <c r="B134">
        <f t="shared" si="64"/>
        <v>104.31317746059764</v>
      </c>
      <c r="C134">
        <f>'Charts  ST Demand &amp; Market Tigh'!C70</f>
        <v>104.97499999999999</v>
      </c>
      <c r="D134" s="19">
        <f t="shared" ref="D134:D144" si="65">B134-C134</f>
        <v>-0.66182253940235114</v>
      </c>
      <c r="E134">
        <f t="shared" si="63"/>
        <v>98.014532381792947</v>
      </c>
      <c r="F134">
        <v>100</v>
      </c>
      <c r="G134" s="28"/>
      <c r="H134" s="12"/>
      <c r="I134">
        <v>-2.0141923492686971</v>
      </c>
      <c r="P134" s="33"/>
      <c r="Q134">
        <v>1.9927872599302248</v>
      </c>
      <c r="R134" s="71">
        <f t="shared" si="40"/>
        <v>117.73128725993023</v>
      </c>
      <c r="S134" s="34">
        <f t="shared" si="41"/>
        <v>4.2878874449315152</v>
      </c>
      <c r="T134" s="57">
        <f t="shared" si="42"/>
        <v>12.171188002394887</v>
      </c>
      <c r="U134" s="58">
        <f t="shared" si="30"/>
        <v>7.8162509851307842</v>
      </c>
      <c r="V134" s="58">
        <f t="shared" si="30"/>
        <v>6.4309297653219559</v>
      </c>
      <c r="W134" s="58">
        <f t="shared" si="30"/>
        <v>5.6934529379337633</v>
      </c>
      <c r="X134" s="58">
        <f t="shared" si="30"/>
        <v>5.3700877516656664</v>
      </c>
      <c r="Y134" s="58">
        <f t="shared" si="30"/>
        <v>5.3610456809063614</v>
      </c>
      <c r="Z134" s="58">
        <f t="shared" si="30"/>
        <v>5.3501325269484834</v>
      </c>
      <c r="AA134" s="58">
        <f t="shared" si="30"/>
        <v>5.2984354679956418</v>
      </c>
      <c r="AB134" s="58">
        <f t="shared" si="30"/>
        <v>5.1580682742340827</v>
      </c>
      <c r="AC134" s="58">
        <f t="shared" si="30"/>
        <v>4.9797729808328288</v>
      </c>
      <c r="AD134" s="58">
        <f t="shared" si="30"/>
        <v>4.8332459160152155</v>
      </c>
      <c r="AE134" s="58">
        <f t="shared" si="30"/>
        <v>4.509042035208501</v>
      </c>
      <c r="AF134" s="58">
        <f t="shared" si="30"/>
        <v>4.4232720676841417</v>
      </c>
      <c r="AG134" s="58">
        <f t="shared" si="30"/>
        <v>4.2596652614595047</v>
      </c>
      <c r="AH134" s="58">
        <f t="shared" si="30"/>
        <v>4.1070110021363035</v>
      </c>
      <c r="AI134" s="58">
        <f t="shared" si="30"/>
        <v>3.8823794054131522</v>
      </c>
      <c r="AJ134" s="59">
        <f t="shared" si="30"/>
        <v>3.720238615532748</v>
      </c>
      <c r="AL134">
        <f t="shared" si="43"/>
        <v>117.73128725993023</v>
      </c>
      <c r="AM134" s="26">
        <f t="shared" si="44"/>
        <v>340002.87605067872</v>
      </c>
      <c r="AN134" s="35">
        <f t="shared" si="45"/>
        <v>366589.0186802785</v>
      </c>
      <c r="AO134" s="35">
        <f t="shared" si="46"/>
        <v>378950.64922442037</v>
      </c>
      <c r="AP134" s="35">
        <f t="shared" si="47"/>
        <v>386879.14623322926</v>
      </c>
      <c r="AQ134" s="35">
        <f t="shared" si="48"/>
        <v>390744.03843245067</v>
      </c>
      <c r="AR134" s="35">
        <f t="shared" si="49"/>
        <v>390855.99662992259</v>
      </c>
      <c r="AS134" s="35">
        <f t="shared" si="50"/>
        <v>390991.41703491716</v>
      </c>
      <c r="AT134" s="35">
        <f>(AA134^$O$65)*(($AL134/100)*$R$75)</f>
        <v>391637.34288654197</v>
      </c>
      <c r="AU134" s="35">
        <f t="shared" si="52"/>
        <v>393429.02000129339</v>
      </c>
      <c r="AV134" s="35">
        <f t="shared" si="53"/>
        <v>395788.86632167402</v>
      </c>
      <c r="AW134" s="35">
        <f t="shared" si="54"/>
        <v>397803.4854684755</v>
      </c>
      <c r="AX134" s="35">
        <f t="shared" si="55"/>
        <v>402526.86184771039</v>
      </c>
      <c r="AY134" s="35">
        <f t="shared" si="56"/>
        <v>403843.20021043468</v>
      </c>
      <c r="AZ134" s="35">
        <f t="shared" si="57"/>
        <v>406438.99188213673</v>
      </c>
      <c r="BA134" s="35">
        <f t="shared" si="58"/>
        <v>408968.44337847165</v>
      </c>
      <c r="BB134" s="35">
        <f t="shared" si="59"/>
        <v>412897.77262114268</v>
      </c>
      <c r="BC134" s="27">
        <f t="shared" si="60"/>
        <v>415903.10278572497</v>
      </c>
      <c r="BE134">
        <f t="shared" si="61"/>
        <v>104.36410205674942</v>
      </c>
      <c r="BF134">
        <f t="shared" si="39"/>
        <v>102.45872752447713</v>
      </c>
      <c r="BG134">
        <f t="shared" si="39"/>
        <v>101.22240921135177</v>
      </c>
      <c r="BH134">
        <f t="shared" si="39"/>
        <v>100.2698746363149</v>
      </c>
      <c r="BI134">
        <f t="shared" si="39"/>
        <v>99.751462012748462</v>
      </c>
      <c r="BJ134">
        <f t="shared" si="39"/>
        <v>99.735864543860259</v>
      </c>
      <c r="BK134">
        <f t="shared" si="39"/>
        <v>99.716953296419476</v>
      </c>
      <c r="BL134">
        <f t="shared" si="39"/>
        <v>99.626065639201926</v>
      </c>
      <c r="BM134">
        <f t="shared" si="39"/>
        <v>99.367901341670958</v>
      </c>
      <c r="BN134">
        <f t="shared" si="39"/>
        <v>99.01370707522203</v>
      </c>
      <c r="BO134">
        <f t="shared" si="39"/>
        <v>98.697885297182353</v>
      </c>
      <c r="BP134">
        <f t="shared" si="39"/>
        <v>97.904697477411858</v>
      </c>
      <c r="BQ134">
        <f t="shared" si="39"/>
        <v>97.669447506484602</v>
      </c>
      <c r="BR134">
        <f t="shared" si="39"/>
        <v>97.185825243574399</v>
      </c>
      <c r="BS134">
        <f t="shared" si="39"/>
        <v>96.687696896277942</v>
      </c>
      <c r="BT134">
        <f t="shared" si="39"/>
        <v>95.856013005563838</v>
      </c>
      <c r="BU134">
        <f t="shared" si="39"/>
        <v>95.167115907400543</v>
      </c>
    </row>
    <row r="135" spans="1:73" x14ac:dyDescent="0.3">
      <c r="A135">
        <v>2015</v>
      </c>
      <c r="B135">
        <f t="shared" si="64"/>
        <v>102.90288839490624</v>
      </c>
      <c r="C135">
        <f>'Charts  ST Demand &amp; Market Tigh'!C71</f>
        <v>105.95350000000001</v>
      </c>
      <c r="D135" s="19">
        <f t="shared" si="65"/>
        <v>-3.0506116050937635</v>
      </c>
      <c r="E135">
        <f t="shared" si="63"/>
        <v>90.848165184718709</v>
      </c>
      <c r="F135">
        <v>100</v>
      </c>
      <c r="G135" s="28"/>
      <c r="H135" s="12"/>
      <c r="I135">
        <v>-1.6351181082942787</v>
      </c>
      <c r="Q135">
        <v>2.4810895689321484</v>
      </c>
      <c r="R135">
        <f t="shared" si="40"/>
        <v>118.21958956893215</v>
      </c>
      <c r="S135" s="21">
        <f t="shared" si="41"/>
        <v>4.3463573173099759</v>
      </c>
      <c r="T135" s="57">
        <f t="shared" si="42"/>
        <v>12.424464839730112</v>
      </c>
      <c r="U135" s="58">
        <f t="shared" si="30"/>
        <v>7.9621960237921972</v>
      </c>
      <c r="V135" s="58">
        <f t="shared" si="30"/>
        <v>6.542732170536862</v>
      </c>
      <c r="W135" s="58">
        <f t="shared" si="30"/>
        <v>5.7870794857137531</v>
      </c>
      <c r="X135" s="58">
        <f t="shared" si="30"/>
        <v>5.4557446395095726</v>
      </c>
      <c r="Y135" s="58">
        <f t="shared" si="30"/>
        <v>5.4464797178308473</v>
      </c>
      <c r="Z135" s="58">
        <f t="shared" si="30"/>
        <v>5.4352975982280309</v>
      </c>
      <c r="AA135" s="58">
        <f t="shared" si="30"/>
        <v>5.3823264133115849</v>
      </c>
      <c r="AB135" s="58">
        <f t="shared" si="30"/>
        <v>5.2384997290174411</v>
      </c>
      <c r="AC135" s="58">
        <f t="shared" si="30"/>
        <v>5.0558101689574588</v>
      </c>
      <c r="AD135" s="58">
        <f t="shared" si="30"/>
        <v>4.9056717973955895</v>
      </c>
      <c r="AE135" s="58">
        <f t="shared" si="30"/>
        <v>4.5734775861831585</v>
      </c>
      <c r="AF135" s="58">
        <f t="shared" si="30"/>
        <v>4.4855937316266594</v>
      </c>
      <c r="AG135" s="58">
        <f t="shared" si="30"/>
        <v>4.3179546712688959</v>
      </c>
      <c r="AH135" s="58">
        <f t="shared" si="30"/>
        <v>4.1615380943361808</v>
      </c>
      <c r="AI135" s="58">
        <f t="shared" si="30"/>
        <v>3.9313702261997596</v>
      </c>
      <c r="AJ135" s="59">
        <f t="shared" si="30"/>
        <v>3.7652333136321019</v>
      </c>
      <c r="AL135">
        <f t="shared" si="43"/>
        <v>118.21958956893215</v>
      </c>
      <c r="AM135" s="26">
        <f t="shared" si="44"/>
        <v>340219.76705818344</v>
      </c>
      <c r="AN135" s="35">
        <f t="shared" si="45"/>
        <v>366953.60895788303</v>
      </c>
      <c r="AO135" s="35">
        <f t="shared" si="46"/>
        <v>379409.05902098649</v>
      </c>
      <c r="AP135" s="35">
        <f t="shared" si="47"/>
        <v>387408.05323230824</v>
      </c>
      <c r="AQ135" s="35">
        <f t="shared" si="48"/>
        <v>391310.556852785</v>
      </c>
      <c r="AR135" s="35">
        <f t="shared" si="49"/>
        <v>391423.63793784584</v>
      </c>
      <c r="AS135" s="35">
        <f t="shared" si="50"/>
        <v>391560.41909950034</v>
      </c>
      <c r="AT135" s="35">
        <f t="shared" si="51"/>
        <v>392212.87409174588</v>
      </c>
      <c r="AU135" s="35">
        <f t="shared" si="52"/>
        <v>394022.99976582773</v>
      </c>
      <c r="AV135" s="35">
        <f t="shared" si="53"/>
        <v>396407.91865948704</v>
      </c>
      <c r="AW135" s="35">
        <f t="shared" si="54"/>
        <v>398444.65678466071</v>
      </c>
      <c r="AX135" s="35">
        <f t="shared" si="55"/>
        <v>403222.57253793965</v>
      </c>
      <c r="AY135" s="35">
        <f t="shared" si="56"/>
        <v>404554.80267998303</v>
      </c>
      <c r="AZ135" s="35">
        <f t="shared" si="57"/>
        <v>407182.84925245336</v>
      </c>
      <c r="BA135" s="35">
        <f t="shared" si="58"/>
        <v>409744.93307028082</v>
      </c>
      <c r="BB135" s="35">
        <f t="shared" si="59"/>
        <v>413727.39614601037</v>
      </c>
      <c r="BC135" s="27">
        <f t="shared" si="60"/>
        <v>416775.44961797982</v>
      </c>
      <c r="BE135">
        <f t="shared" si="61"/>
        <v>104.43067689136652</v>
      </c>
      <c r="BF135">
        <f t="shared" si="39"/>
        <v>102.56062761969993</v>
      </c>
      <c r="BG135">
        <f t="shared" si="39"/>
        <v>101.34485614239539</v>
      </c>
      <c r="BH135">
        <f t="shared" si="39"/>
        <v>100.40695475295666</v>
      </c>
      <c r="BI135">
        <f t="shared" si="39"/>
        <v>99.896086204360444</v>
      </c>
      <c r="BJ135">
        <f t="shared" si="39"/>
        <v>99.880711231859621</v>
      </c>
      <c r="BK135">
        <f t="shared" si="39"/>
        <v>99.862069403391558</v>
      </c>
      <c r="BL135">
        <f t="shared" si="39"/>
        <v>99.772471263355257</v>
      </c>
      <c r="BM135">
        <f t="shared" si="39"/>
        <v>99.51792210689311</v>
      </c>
      <c r="BN135">
        <f t="shared" si="39"/>
        <v>99.168574157285505</v>
      </c>
      <c r="BO135">
        <f t="shared" si="39"/>
        <v>98.856964479070797</v>
      </c>
      <c r="BP135">
        <f t="shared" si="39"/>
        <v>98.073911885479035</v>
      </c>
      <c r="BQ135">
        <f t="shared" si="39"/>
        <v>97.841548510064271</v>
      </c>
      <c r="BR135">
        <f t="shared" si="39"/>
        <v>97.363693001938245</v>
      </c>
      <c r="BS135">
        <f t="shared" si="39"/>
        <v>96.871273407327365</v>
      </c>
      <c r="BT135">
        <f t="shared" si="39"/>
        <v>96.048613713687331</v>
      </c>
      <c r="BU135">
        <f t="shared" si="39"/>
        <v>95.366726661782025</v>
      </c>
    </row>
    <row r="136" spans="1:73" x14ac:dyDescent="0.3">
      <c r="A136">
        <v>2016</v>
      </c>
      <c r="B136">
        <f t="shared" si="64"/>
        <v>108.92478725993023</v>
      </c>
      <c r="C136">
        <f>'Charts  ST Demand &amp; Market Tigh'!C72</f>
        <v>106.932</v>
      </c>
      <c r="D136" s="19">
        <f t="shared" si="65"/>
        <v>1.9927872599302248</v>
      </c>
      <c r="E136">
        <f t="shared" si="63"/>
        <v>105.97836177979067</v>
      </c>
      <c r="F136">
        <v>100</v>
      </c>
      <c r="G136" s="28"/>
      <c r="H136" s="12"/>
      <c r="I136">
        <v>-0.66182253940235114</v>
      </c>
      <c r="Q136">
        <v>2.7731287864709486</v>
      </c>
      <c r="R136">
        <f t="shared" si="40"/>
        <v>118.51162878647095</v>
      </c>
      <c r="S136" s="21">
        <f t="shared" si="41"/>
        <v>4.3818943977850742</v>
      </c>
      <c r="T136" s="57">
        <f t="shared" si="42"/>
        <v>12.578402568422261</v>
      </c>
      <c r="U136" s="58">
        <f t="shared" si="30"/>
        <v>8.0508991519653126</v>
      </c>
      <c r="V136" s="58">
        <f t="shared" si="30"/>
        <v>6.6106839362892273</v>
      </c>
      <c r="W136" s="58">
        <f t="shared" si="30"/>
        <v>5.8439842475631867</v>
      </c>
      <c r="X136" s="58">
        <f t="shared" si="30"/>
        <v>5.5078055658076917</v>
      </c>
      <c r="Y136" s="58">
        <f t="shared" si="30"/>
        <v>5.4984051988007074</v>
      </c>
      <c r="Z136" s="58">
        <f t="shared" si="30"/>
        <v>5.487059606055567</v>
      </c>
      <c r="AA136" s="58">
        <f t="shared" si="30"/>
        <v>5.4333140271638625</v>
      </c>
      <c r="AB136" s="58">
        <f t="shared" si="30"/>
        <v>5.2873847182451357</v>
      </c>
      <c r="AC136" s="58">
        <f t="shared" si="30"/>
        <v>5.1020243911468803</v>
      </c>
      <c r="AD136" s="58">
        <f t="shared" si="30"/>
        <v>4.9496911234244667</v>
      </c>
      <c r="AE136" s="58">
        <f t="shared" si="30"/>
        <v>4.6126405134702608</v>
      </c>
      <c r="AF136" s="58">
        <f t="shared" si="30"/>
        <v>4.5234718712013766</v>
      </c>
      <c r="AG136" s="58">
        <f t="shared" si="30"/>
        <v>4.353382069396849</v>
      </c>
      <c r="AH136" s="58">
        <f t="shared" si="30"/>
        <v>4.1946788142446785</v>
      </c>
      <c r="AI136" s="58">
        <f t="shared" si="30"/>
        <v>3.9611460863139363</v>
      </c>
      <c r="AJ136" s="59">
        <f t="shared" si="30"/>
        <v>3.7925803924312422</v>
      </c>
      <c r="AL136">
        <f t="shared" si="43"/>
        <v>118.51162878647095</v>
      </c>
      <c r="AM136" s="26">
        <f t="shared" si="44"/>
        <v>340347.00782202324</v>
      </c>
      <c r="AN136" s="35">
        <f t="shared" si="45"/>
        <v>367167.91593678895</v>
      </c>
      <c r="AO136" s="35">
        <f t="shared" si="46"/>
        <v>379678.83058380848</v>
      </c>
      <c r="AP136" s="35">
        <f t="shared" si="47"/>
        <v>387719.58027881326</v>
      </c>
      <c r="AQ136" s="35">
        <f t="shared" si="48"/>
        <v>391644.38824988593</v>
      </c>
      <c r="AR136" s="35">
        <f t="shared" si="49"/>
        <v>391758.13551793224</v>
      </c>
      <c r="AS136" s="35">
        <f t="shared" si="50"/>
        <v>391895.72400700243</v>
      </c>
      <c r="AT136" s="35">
        <f t="shared" si="51"/>
        <v>392552.05303188897</v>
      </c>
      <c r="AU136" s="35">
        <f t="shared" si="52"/>
        <v>394373.12809333892</v>
      </c>
      <c r="AV136" s="35">
        <f t="shared" si="53"/>
        <v>396772.93493067101</v>
      </c>
      <c r="AW136" s="35">
        <f t="shared" si="54"/>
        <v>398822.81397513271</v>
      </c>
      <c r="AX136" s="35">
        <f t="shared" si="55"/>
        <v>403633.15871851589</v>
      </c>
      <c r="AY136" s="35">
        <f t="shared" si="56"/>
        <v>404974.8452801911</v>
      </c>
      <c r="AZ136" s="35">
        <f t="shared" si="57"/>
        <v>407622.09509745782</v>
      </c>
      <c r="BA136" s="35">
        <f t="shared" si="58"/>
        <v>410203.62034229469</v>
      </c>
      <c r="BB136" s="35">
        <f t="shared" si="59"/>
        <v>414217.76790460513</v>
      </c>
      <c r="BC136" s="27">
        <f t="shared" si="60"/>
        <v>417291.32365460711</v>
      </c>
      <c r="BE136">
        <f t="shared" si="61"/>
        <v>104.46973352587916</v>
      </c>
      <c r="BF136">
        <f t="shared" si="39"/>
        <v>102.62052472310299</v>
      </c>
      <c r="BG136">
        <f t="shared" si="39"/>
        <v>101.416915466166</v>
      </c>
      <c r="BH136">
        <f t="shared" si="39"/>
        <v>100.48769515523219</v>
      </c>
      <c r="BI136">
        <f t="shared" si="39"/>
        <v>99.981308668816126</v>
      </c>
      <c r="BJ136">
        <f t="shared" si="39"/>
        <v>99.966065954891619</v>
      </c>
      <c r="BK136">
        <f t="shared" si="39"/>
        <v>99.947584282605533</v>
      </c>
      <c r="BL136">
        <f t="shared" si="39"/>
        <v>99.858752778557744</v>
      </c>
      <c r="BM136">
        <f t="shared" si="39"/>
        <v>99.606353603646795</v>
      </c>
      <c r="BN136">
        <f t="shared" si="39"/>
        <v>99.25988954593852</v>
      </c>
      <c r="BO136">
        <f t="shared" si="39"/>
        <v>98.950787978293164</v>
      </c>
      <c r="BP136">
        <f t="shared" si="39"/>
        <v>98.1737768127865</v>
      </c>
      <c r="BQ136">
        <f t="shared" si="39"/>
        <v>97.943135781238155</v>
      </c>
      <c r="BR136">
        <f t="shared" si="39"/>
        <v>97.468723451241075</v>
      </c>
      <c r="BS136">
        <f t="shared" si="39"/>
        <v>96.97971555401304</v>
      </c>
      <c r="BT136">
        <f t="shared" si="39"/>
        <v>96.162455649358279</v>
      </c>
      <c r="BU136">
        <f t="shared" si="39"/>
        <v>95.484769167136008</v>
      </c>
    </row>
    <row r="137" spans="1:73" x14ac:dyDescent="0.3">
      <c r="A137">
        <v>2017</v>
      </c>
      <c r="B137">
        <f t="shared" si="64"/>
        <v>109.87659317486191</v>
      </c>
      <c r="C137">
        <f>'Charts  ST Demand &amp; Market Tigh'!C73</f>
        <v>107.9105</v>
      </c>
      <c r="D137" s="19">
        <f t="shared" si="65"/>
        <v>1.9660931748619106</v>
      </c>
      <c r="E137">
        <f t="shared" si="63"/>
        <v>105.89827952458573</v>
      </c>
      <c r="F137">
        <v>100</v>
      </c>
      <c r="G137" s="28"/>
      <c r="H137" s="12"/>
      <c r="I137">
        <v>-8.2499999999996021E-2</v>
      </c>
      <c r="Q137">
        <v>4.1205194810683992</v>
      </c>
      <c r="R137">
        <f t="shared" si="40"/>
        <v>119.8590194810684</v>
      </c>
      <c r="S137" s="21">
        <f t="shared" si="41"/>
        <v>4.5514880000647526</v>
      </c>
      <c r="T137" s="57">
        <f t="shared" si="42"/>
        <v>13.313039561293635</v>
      </c>
      <c r="U137" s="58">
        <f t="shared" si="30"/>
        <v>8.474217073393751</v>
      </c>
      <c r="V137" s="58">
        <f t="shared" si="30"/>
        <v>6.934970134849717</v>
      </c>
      <c r="W137" s="58">
        <f t="shared" si="30"/>
        <v>6.1155508315338434</v>
      </c>
      <c r="X137" s="58">
        <f t="shared" si="30"/>
        <v>5.7562559143134351</v>
      </c>
      <c r="Y137" s="58">
        <f t="shared" si="30"/>
        <v>5.7462091615925921</v>
      </c>
      <c r="Z137" s="58">
        <f t="shared" si="30"/>
        <v>5.7340834260019378</v>
      </c>
      <c r="AA137" s="58">
        <f t="shared" si="30"/>
        <v>5.6766422068918487</v>
      </c>
      <c r="AB137" s="58">
        <f t="shared" si="30"/>
        <v>5.5206785428837915</v>
      </c>
      <c r="AC137" s="58">
        <f t="shared" si="30"/>
        <v>5.3225725147652287</v>
      </c>
      <c r="AD137" s="58">
        <f t="shared" si="30"/>
        <v>5.1597645445202645</v>
      </c>
      <c r="AE137" s="58">
        <f t="shared" si="30"/>
        <v>4.7995377437897488</v>
      </c>
      <c r="AF137" s="58">
        <f t="shared" si="30"/>
        <v>4.704237709369492</v>
      </c>
      <c r="AG137" s="58">
        <f t="shared" si="30"/>
        <v>4.5224522346324543</v>
      </c>
      <c r="AH137" s="58">
        <f t="shared" si="30"/>
        <v>4.3528362654557391</v>
      </c>
      <c r="AI137" s="58">
        <f t="shared" si="30"/>
        <v>4.1032454177792088</v>
      </c>
      <c r="AJ137" s="59">
        <f t="shared" si="30"/>
        <v>3.9230888512964102</v>
      </c>
      <c r="AL137">
        <f t="shared" si="43"/>
        <v>119.8590194810684</v>
      </c>
      <c r="AM137" s="26">
        <f t="shared" si="44"/>
        <v>340910.90683694754</v>
      </c>
      <c r="AN137" s="35">
        <f t="shared" si="45"/>
        <v>368121.42489153612</v>
      </c>
      <c r="AO137" s="35">
        <f t="shared" si="46"/>
        <v>380881.9944321888</v>
      </c>
      <c r="AP137" s="35">
        <f t="shared" si="47"/>
        <v>389111.41825055017</v>
      </c>
      <c r="AQ137" s="35">
        <f t="shared" si="48"/>
        <v>393137.26120951597</v>
      </c>
      <c r="AR137" s="35">
        <f t="shared" si="49"/>
        <v>393254.02885231649</v>
      </c>
      <c r="AS137" s="35">
        <f t="shared" si="50"/>
        <v>393395.27785163221</v>
      </c>
      <c r="AT137" s="35">
        <f t="shared" si="51"/>
        <v>394069.17532477458</v>
      </c>
      <c r="AU137" s="35">
        <f t="shared" si="52"/>
        <v>395939.93330547528</v>
      </c>
      <c r="AV137" s="35">
        <f t="shared" si="53"/>
        <v>398407.3610917654</v>
      </c>
      <c r="AW137" s="35">
        <f t="shared" si="54"/>
        <v>400516.9898527413</v>
      </c>
      <c r="AX137" s="35">
        <f t="shared" si="55"/>
        <v>405475.03861727385</v>
      </c>
      <c r="AY137" s="35">
        <f t="shared" si="56"/>
        <v>406859.8641498083</v>
      </c>
      <c r="AZ137" s="35">
        <f t="shared" si="57"/>
        <v>409594.81063169666</v>
      </c>
      <c r="BA137" s="35">
        <f t="shared" si="58"/>
        <v>412265.2480701569</v>
      </c>
      <c r="BB137" s="35">
        <f t="shared" si="59"/>
        <v>416424.57380176376</v>
      </c>
      <c r="BC137" s="27">
        <f t="shared" si="60"/>
        <v>419615.22675911884</v>
      </c>
      <c r="BE137">
        <f t="shared" si="61"/>
        <v>104.64282269214399</v>
      </c>
      <c r="BF137">
        <f t="shared" si="39"/>
        <v>102.88702292465383</v>
      </c>
      <c r="BG137">
        <f t="shared" si="39"/>
        <v>101.73829542331427</v>
      </c>
      <c r="BH137">
        <f t="shared" si="39"/>
        <v>100.84842645930713</v>
      </c>
      <c r="BI137">
        <f t="shared" si="39"/>
        <v>100.36241815655087</v>
      </c>
      <c r="BJ137">
        <f t="shared" si="39"/>
        <v>100.34777741961678</v>
      </c>
      <c r="BK137">
        <f t="shared" si="39"/>
        <v>100.33002475105465</v>
      </c>
      <c r="BL137">
        <f t="shared" si="39"/>
        <v>100.24468360941189</v>
      </c>
      <c r="BM137">
        <f t="shared" si="39"/>
        <v>100.00207973930573</v>
      </c>
      <c r="BN137">
        <f t="shared" si="39"/>
        <v>99.668770661404665</v>
      </c>
      <c r="BO137">
        <f t="shared" si="39"/>
        <v>99.371125110946849</v>
      </c>
      <c r="BP137">
        <f t="shared" si="39"/>
        <v>98.621768515625561</v>
      </c>
      <c r="BQ137">
        <f t="shared" si="39"/>
        <v>98.399027452656355</v>
      </c>
      <c r="BR137">
        <f t="shared" si="39"/>
        <v>97.94043013046003</v>
      </c>
      <c r="BS137">
        <f t="shared" si="39"/>
        <v>97.467122443448844</v>
      </c>
      <c r="BT137">
        <f t="shared" si="39"/>
        <v>96.674775232571164</v>
      </c>
      <c r="BU137">
        <f t="shared" si="39"/>
        <v>96.016525613825905</v>
      </c>
    </row>
    <row r="138" spans="1:73" x14ac:dyDescent="0.3">
      <c r="A138">
        <v>2018</v>
      </c>
      <c r="B138">
        <f t="shared" si="64"/>
        <v>106.8748076507313</v>
      </c>
      <c r="C138">
        <f>'Charts  ST Demand &amp; Market Tigh'!C74</f>
        <v>108.889</v>
      </c>
      <c r="D138" s="19">
        <f t="shared" si="65"/>
        <v>-2.0141923492686971</v>
      </c>
      <c r="E138">
        <f t="shared" si="63"/>
        <v>93.957422952193909</v>
      </c>
      <c r="F138">
        <v>100</v>
      </c>
      <c r="G138" s="28"/>
      <c r="H138" s="12"/>
      <c r="I138">
        <v>1.7801719972506334</v>
      </c>
      <c r="Q138">
        <v>5.3768374024553651</v>
      </c>
      <c r="R138" s="3">
        <f t="shared" si="40"/>
        <v>121.11533740245537</v>
      </c>
      <c r="S138" s="72">
        <f t="shared" si="41"/>
        <v>4.7182296630364702</v>
      </c>
      <c r="T138" s="57">
        <f t="shared" si="42"/>
        <v>14.035322667645165</v>
      </c>
      <c r="U138" s="58">
        <f t="shared" si="30"/>
        <v>8.8904163476346909</v>
      </c>
      <c r="V138" s="58">
        <f t="shared" si="30"/>
        <v>7.2538030347935631</v>
      </c>
      <c r="W138" s="58">
        <f t="shared" si="30"/>
        <v>6.3825506664930778</v>
      </c>
      <c r="X138" s="58">
        <f t="shared" si="30"/>
        <v>6.0005282436872296</v>
      </c>
      <c r="Y138" s="58">
        <f t="shared" si="30"/>
        <v>5.989845975077813</v>
      </c>
      <c r="Z138" s="58">
        <f t="shared" si="30"/>
        <v>5.9769532157688818</v>
      </c>
      <c r="AA138" s="58">
        <f t="shared" si="30"/>
        <v>5.9158785034876189</v>
      </c>
      <c r="AB138" s="58">
        <f t="shared" si="30"/>
        <v>5.7500492252585431</v>
      </c>
      <c r="AC138" s="58">
        <f t="shared" si="30"/>
        <v>5.5394118318331582</v>
      </c>
      <c r="AD138" s="58">
        <f t="shared" si="30"/>
        <v>5.3663053049547678</v>
      </c>
      <c r="AE138" s="58">
        <f t="shared" si="30"/>
        <v>4.9832920515547734</v>
      </c>
      <c r="AF138" s="58">
        <f t="shared" si="30"/>
        <v>4.8819637324002541</v>
      </c>
      <c r="AG138" s="58">
        <f t="shared" si="30"/>
        <v>4.6886792628419141</v>
      </c>
      <c r="AH138" s="58">
        <f t="shared" si="30"/>
        <v>4.5083340912688339</v>
      </c>
      <c r="AI138" s="58">
        <f t="shared" si="30"/>
        <v>4.2429551622341632</v>
      </c>
      <c r="AJ138" s="59">
        <f t="shared" ref="AJ138" si="66">((((AJ$122/(($R138/100)*$R$75))^$O$66)/($W$75/100))*0.0323)+1.8946</f>
        <v>4.0514026389071445</v>
      </c>
      <c r="AL138">
        <f t="shared" si="43"/>
        <v>121.11533740245537</v>
      </c>
      <c r="AM138" s="26">
        <f t="shared" si="44"/>
        <v>341404.02607758058</v>
      </c>
      <c r="AN138" s="35">
        <f t="shared" si="45"/>
        <v>368960.34318071179</v>
      </c>
      <c r="AO138" s="35">
        <f t="shared" si="46"/>
        <v>381944.50613683811</v>
      </c>
      <c r="AP138" s="35">
        <f t="shared" si="47"/>
        <v>390343.92116344912</v>
      </c>
      <c r="AQ138" s="35">
        <f t="shared" si="48"/>
        <v>394461.14792231761</v>
      </c>
      <c r="AR138" s="35">
        <f t="shared" si="49"/>
        <v>394580.65119529137</v>
      </c>
      <c r="AS138" s="35">
        <f t="shared" si="50"/>
        <v>394725.21590458235</v>
      </c>
      <c r="AT138" s="35">
        <f t="shared" si="51"/>
        <v>395415.0314366981</v>
      </c>
      <c r="AU138" s="35">
        <f t="shared" si="52"/>
        <v>397330.84503015206</v>
      </c>
      <c r="AV138" s="35">
        <f t="shared" si="53"/>
        <v>399859.69033391611</v>
      </c>
      <c r="AW138" s="35">
        <f t="shared" si="54"/>
        <v>402023.67791827145</v>
      </c>
      <c r="AX138" s="35">
        <f t="shared" si="55"/>
        <v>407116.46670134005</v>
      </c>
      <c r="AY138" s="35">
        <f t="shared" si="56"/>
        <v>408540.74192811217</v>
      </c>
      <c r="AZ138" s="35">
        <f t="shared" si="57"/>
        <v>411356.01990754373</v>
      </c>
      <c r="BA138" s="35">
        <f t="shared" si="58"/>
        <v>414108.08614079066</v>
      </c>
      <c r="BB138" s="35">
        <f t="shared" si="59"/>
        <v>418401.09393636975</v>
      </c>
      <c r="BC138" s="27">
        <f t="shared" si="60"/>
        <v>421699.92854110844</v>
      </c>
      <c r="BE138">
        <f t="shared" si="61"/>
        <v>104.79418596104735</v>
      </c>
      <c r="BF138">
        <f t="shared" si="39"/>
        <v>103.12149394267666</v>
      </c>
      <c r="BG138">
        <f t="shared" si="39"/>
        <v>102.02210545182324</v>
      </c>
      <c r="BH138">
        <f t="shared" si="39"/>
        <v>101.16786190515248</v>
      </c>
      <c r="BI138">
        <f t="shared" si="39"/>
        <v>100.70038783017917</v>
      </c>
      <c r="BJ138">
        <f t="shared" si="39"/>
        <v>100.6862955118058</v>
      </c>
      <c r="BK138">
        <f t="shared" si="39"/>
        <v>100.66920705771207</v>
      </c>
      <c r="BL138">
        <f t="shared" si="39"/>
        <v>100.58704715513298</v>
      </c>
      <c r="BM138">
        <f t="shared" si="39"/>
        <v>100.35338066528266</v>
      </c>
      <c r="BN138">
        <f t="shared" si="39"/>
        <v>100.03209695578863</v>
      </c>
      <c r="BO138">
        <f t="shared" si="39"/>
        <v>99.7449451786499</v>
      </c>
      <c r="BP138">
        <f t="shared" si="39"/>
        <v>99.021005275288644</v>
      </c>
      <c r="BQ138">
        <f t="shared" si="39"/>
        <v>98.805547616540068</v>
      </c>
      <c r="BR138">
        <f t="shared" si="39"/>
        <v>98.361562404475393</v>
      </c>
      <c r="BS138">
        <f t="shared" si="39"/>
        <v>97.902803415140497</v>
      </c>
      <c r="BT138">
        <f t="shared" si="39"/>
        <v>97.13363297482978</v>
      </c>
      <c r="BU138">
        <f t="shared" ref="BU138:BU148" si="67">((BC138/BC$122*100)/88.9428348*100)</f>
        <v>96.493547917314658</v>
      </c>
    </row>
    <row r="139" spans="1:73" ht="16.2" thickBot="1" x14ac:dyDescent="0.35">
      <c r="A139">
        <v>2019</v>
      </c>
      <c r="B139">
        <f t="shared" si="64"/>
        <v>103.22426827415396</v>
      </c>
      <c r="C139">
        <f>'Charts  ST Demand &amp; Market Tigh'!C75</f>
        <v>109.86750000000001</v>
      </c>
      <c r="D139" s="19">
        <f t="shared" si="65"/>
        <v>-6.64323172584605</v>
      </c>
      <c r="E139">
        <f t="shared" si="63"/>
        <v>80.07030482246185</v>
      </c>
      <c r="F139">
        <v>100</v>
      </c>
      <c r="G139" s="28"/>
      <c r="H139" s="12"/>
      <c r="I139">
        <v>1.9660931748619106</v>
      </c>
      <c r="Q139">
        <v>8.1570751105476518</v>
      </c>
      <c r="R139">
        <f t="shared" si="40"/>
        <v>123.89557511054765</v>
      </c>
      <c r="S139" s="21">
        <f t="shared" si="41"/>
        <v>5.1185337836731311</v>
      </c>
      <c r="T139" s="60">
        <f>((((T$122/(($R139/100)*$R$75))^$O$66)/($W$75/100))*0.0323)+1.8946</f>
        <v>15.769339820801481</v>
      </c>
      <c r="U139" s="61">
        <f t="shared" ref="U139:AJ139" si="68">((((U$122/(($R139/100)*$R$75))^$O$66)/($W$75/100))*0.0323)+1.8946</f>
        <v>9.8896044420517164</v>
      </c>
      <c r="V139" s="61">
        <f t="shared" si="68"/>
        <v>8.019239347274782</v>
      </c>
      <c r="W139" s="61">
        <f t="shared" si="68"/>
        <v>7.0235490362983395</v>
      </c>
      <c r="X139" s="61">
        <f t="shared" si="68"/>
        <v>6.5869636807767105</v>
      </c>
      <c r="Y139" s="61">
        <f t="shared" si="68"/>
        <v>6.5747557009299591</v>
      </c>
      <c r="Z139" s="61">
        <f t="shared" si="68"/>
        <v>6.5600215136924618</v>
      </c>
      <c r="AA139" s="61">
        <f t="shared" si="68"/>
        <v>6.490223712875288</v>
      </c>
      <c r="AB139" s="61">
        <f t="shared" si="68"/>
        <v>6.30070961613775</v>
      </c>
      <c r="AC139" s="61">
        <f t="shared" si="68"/>
        <v>6.0599876171007789</v>
      </c>
      <c r="AD139" s="61">
        <f t="shared" si="68"/>
        <v>5.8621568876236125</v>
      </c>
      <c r="AE139" s="61">
        <f t="shared" si="68"/>
        <v>5.4244391846234485</v>
      </c>
      <c r="AF139" s="61">
        <f t="shared" si="68"/>
        <v>5.3086384943980782</v>
      </c>
      <c r="AG139" s="61">
        <f t="shared" si="68"/>
        <v>5.087747876933399</v>
      </c>
      <c r="AH139" s="61">
        <f t="shared" si="68"/>
        <v>4.8816446323396692</v>
      </c>
      <c r="AI139" s="61">
        <f t="shared" si="68"/>
        <v>4.5783625547338929</v>
      </c>
      <c r="AJ139" s="62">
        <f t="shared" si="68"/>
        <v>4.3594512513513344</v>
      </c>
      <c r="AL139">
        <f t="shared" si="43"/>
        <v>123.89557511054765</v>
      </c>
      <c r="AM139" s="26">
        <f t="shared" si="44"/>
        <v>342392.94076432474</v>
      </c>
      <c r="AN139" s="35">
        <f t="shared" si="45"/>
        <v>370657.40639899642</v>
      </c>
      <c r="AO139" s="35">
        <f t="shared" si="46"/>
        <v>384105.44108142873</v>
      </c>
      <c r="AP139" s="35">
        <f t="shared" si="47"/>
        <v>392860.59850715927</v>
      </c>
      <c r="AQ139" s="35">
        <f t="shared" si="48"/>
        <v>397170.15232383664</v>
      </c>
      <c r="AR139" s="35">
        <f t="shared" si="49"/>
        <v>397295.42469664727</v>
      </c>
      <c r="AS139" s="35">
        <f t="shared" si="50"/>
        <v>397446.98272938456</v>
      </c>
      <c r="AT139" s="35">
        <f t="shared" si="51"/>
        <v>398170.38566128974</v>
      </c>
      <c r="AU139" s="35">
        <f t="shared" si="52"/>
        <v>400181.39165998623</v>
      </c>
      <c r="AV139" s="35">
        <f t="shared" si="53"/>
        <v>402840.293678616</v>
      </c>
      <c r="AW139" s="35">
        <f t="shared" si="54"/>
        <v>405119.67428365117</v>
      </c>
      <c r="AX139" s="35">
        <f t="shared" si="55"/>
        <v>410499.63526683394</v>
      </c>
      <c r="AY139" s="35">
        <f t="shared" si="56"/>
        <v>412008.29833072296</v>
      </c>
      <c r="AZ139" s="35">
        <f t="shared" si="57"/>
        <v>414995.84666483325</v>
      </c>
      <c r="BA139" s="35">
        <f t="shared" si="58"/>
        <v>417923.5571602381</v>
      </c>
      <c r="BB139" s="35">
        <f t="shared" si="59"/>
        <v>422505.5015618403</v>
      </c>
      <c r="BC139" s="27">
        <f t="shared" si="60"/>
        <v>426039.32584408997</v>
      </c>
      <c r="BE139">
        <f t="shared" si="61"/>
        <v>105.09773396185133</v>
      </c>
      <c r="BF139">
        <f t="shared" ref="BF139:BF148" si="69">((AN139/AN$122*100)/88.9428348*100)</f>
        <v>103.59580967231854</v>
      </c>
      <c r="BG139">
        <f t="shared" ref="BG139:BG148" si="70">((AO139/AO$122*100)/88.9428348*100)</f>
        <v>102.59931792444502</v>
      </c>
      <c r="BH139">
        <f t="shared" ref="BH139:BH148" si="71">((AP139/AP$122*100)/88.9428348*100)</f>
        <v>101.82012482552642</v>
      </c>
      <c r="BI139">
        <f t="shared" ref="BI139:BI148" si="72">((AQ139/AQ$122*100)/88.9428348*100)</f>
        <v>101.39195858512799</v>
      </c>
      <c r="BJ139">
        <f t="shared" ref="BJ139:BJ148" si="73">((AR139/AR$122*100)/88.9428348*100)</f>
        <v>101.3790321834523</v>
      </c>
      <c r="BK139">
        <f t="shared" ref="BK139:BK148" si="74">((AS139/AS$122*100)/88.9428348*100)</f>
        <v>101.36335604290146</v>
      </c>
      <c r="BL139">
        <f t="shared" ref="BL139:BL148" si="75">((AT139/AT$122*100)/88.9428348*100)</f>
        <v>101.28796371946056</v>
      </c>
      <c r="BM139">
        <f t="shared" ref="BM139:BM148" si="76">((AU139/AU$122*100)/88.9428348*100)</f>
        <v>101.0733398494889</v>
      </c>
      <c r="BN139">
        <f t="shared" ref="BN139:BN148" si="77">((AV139/AV$122*100)/88.9428348*100)</f>
        <v>100.77774851800231</v>
      </c>
      <c r="BO139">
        <f t="shared" ref="BO139:BO148" si="78">((AW139/AW$122*100)/88.9428348*100)</f>
        <v>100.51308398414803</v>
      </c>
      <c r="BP139">
        <f t="shared" ref="BP139:BP148" si="79">((AX139/AX$122*100)/88.9428348*100)</f>
        <v>99.843877302758671</v>
      </c>
      <c r="BQ139">
        <f t="shared" ref="BQ139:BQ148" si="80">((AY139/AY$122*100)/88.9428348*100)</f>
        <v>99.644175870932088</v>
      </c>
      <c r="BR139">
        <f t="shared" ref="BR139:BR148" si="81">((AZ139/AZ$122*100)/88.9428348*100)</f>
        <v>99.231901063452796</v>
      </c>
      <c r="BS139">
        <f t="shared" ref="BS139:BS148" si="82">((BA139/BA$122*100)/88.9428348*100)</f>
        <v>98.80485126606348</v>
      </c>
      <c r="BT139">
        <f t="shared" ref="BT139:BT148" si="83">((BB139/BB$122*100)/88.9428348*100)</f>
        <v>98.086489049178809</v>
      </c>
      <c r="BU139">
        <f t="shared" si="67"/>
        <v>97.486490560288559</v>
      </c>
    </row>
    <row r="140" spans="1:73" x14ac:dyDescent="0.3">
      <c r="A140">
        <v>2020</v>
      </c>
      <c r="B140">
        <f t="shared" si="64"/>
        <v>114.9665194810684</v>
      </c>
      <c r="C140">
        <f>'Charts  ST Demand &amp; Market Tigh'!C76</f>
        <v>110.846</v>
      </c>
      <c r="D140" s="19">
        <f t="shared" si="65"/>
        <v>4.1205194810683992</v>
      </c>
      <c r="E140">
        <f t="shared" si="63"/>
        <v>112.3615584432052</v>
      </c>
      <c r="F140">
        <v>100</v>
      </c>
      <c r="G140" s="28"/>
      <c r="H140" s="12"/>
      <c r="I140">
        <v>1.9927872599302248</v>
      </c>
      <c r="S140" s="21"/>
      <c r="T140" s="57" t="e">
        <f t="shared" ref="T140:AB148" si="84">((((T$122/(($R140/100)*$R$75))^$O$66)/($W$75/100))*0.0324)+1.9155</f>
        <v>#DIV/0!</v>
      </c>
      <c r="U140" s="58" t="e">
        <f t="shared" si="84"/>
        <v>#DIV/0!</v>
      </c>
      <c r="V140" s="58" t="e">
        <f t="shared" si="84"/>
        <v>#DIV/0!</v>
      </c>
      <c r="W140" s="58" t="e">
        <f t="shared" si="84"/>
        <v>#DIV/0!</v>
      </c>
      <c r="X140" s="58" t="e">
        <f t="shared" si="84"/>
        <v>#DIV/0!</v>
      </c>
      <c r="Y140" s="44" t="e">
        <f t="shared" si="84"/>
        <v>#DIV/0!</v>
      </c>
      <c r="Z140" s="58" t="e">
        <f t="shared" si="84"/>
        <v>#DIV/0!</v>
      </c>
      <c r="AA140" s="58" t="e">
        <f t="shared" si="84"/>
        <v>#DIV/0!</v>
      </c>
      <c r="AB140" s="58" t="e">
        <f t="shared" si="84"/>
        <v>#DIV/0!</v>
      </c>
      <c r="AC140" s="58" t="e">
        <f t="shared" ref="AC140:AJ148" si="85">((((AC$122/(($R140/100)*$R$75))^$O$66)/($W$75/100))*0.0324)+1.9155</f>
        <v>#DIV/0!</v>
      </c>
      <c r="AD140" s="58" t="e">
        <f t="shared" si="85"/>
        <v>#DIV/0!</v>
      </c>
      <c r="AE140" s="44" t="e">
        <f t="shared" si="85"/>
        <v>#DIV/0!</v>
      </c>
      <c r="AF140" s="44" t="e">
        <f t="shared" si="85"/>
        <v>#DIV/0!</v>
      </c>
      <c r="AG140" s="67" t="e">
        <f t="shared" si="85"/>
        <v>#DIV/0!</v>
      </c>
      <c r="AH140" s="58" t="e">
        <f t="shared" si="85"/>
        <v>#DIV/0!</v>
      </c>
      <c r="AI140" s="58" t="e">
        <f t="shared" si="85"/>
        <v>#DIV/0!</v>
      </c>
      <c r="AJ140" s="59" t="e">
        <f t="shared" si="85"/>
        <v>#DIV/0!</v>
      </c>
      <c r="AL140">
        <f t="shared" si="43"/>
        <v>0</v>
      </c>
      <c r="AM140" s="26" t="e">
        <f t="shared" si="44"/>
        <v>#DIV/0!</v>
      </c>
      <c r="AN140" s="35" t="e">
        <f t="shared" si="45"/>
        <v>#DIV/0!</v>
      </c>
      <c r="AO140" s="35" t="e">
        <f t="shared" si="46"/>
        <v>#DIV/0!</v>
      </c>
      <c r="AP140" s="35" t="e">
        <f t="shared" si="47"/>
        <v>#DIV/0!</v>
      </c>
      <c r="AQ140" s="35" t="e">
        <f t="shared" si="48"/>
        <v>#DIV/0!</v>
      </c>
      <c r="AR140" s="35" t="e">
        <f t="shared" si="49"/>
        <v>#DIV/0!</v>
      </c>
      <c r="AS140" s="35" t="e">
        <f t="shared" si="50"/>
        <v>#DIV/0!</v>
      </c>
      <c r="AT140" s="35" t="e">
        <f t="shared" si="51"/>
        <v>#DIV/0!</v>
      </c>
      <c r="AU140" s="35" t="e">
        <f t="shared" si="52"/>
        <v>#DIV/0!</v>
      </c>
      <c r="AV140" s="35" t="e">
        <f t="shared" si="53"/>
        <v>#DIV/0!</v>
      </c>
      <c r="AW140" s="35" t="e">
        <f t="shared" si="54"/>
        <v>#DIV/0!</v>
      </c>
      <c r="AX140" s="35" t="e">
        <f t="shared" si="55"/>
        <v>#DIV/0!</v>
      </c>
      <c r="AY140" s="35" t="e">
        <f t="shared" si="56"/>
        <v>#DIV/0!</v>
      </c>
      <c r="AZ140" s="35" t="e">
        <f t="shared" si="57"/>
        <v>#DIV/0!</v>
      </c>
      <c r="BA140" s="35" t="e">
        <f t="shared" si="58"/>
        <v>#DIV/0!</v>
      </c>
      <c r="BB140" s="35" t="e">
        <f t="shared" si="59"/>
        <v>#DIV/0!</v>
      </c>
      <c r="BC140" s="27" t="e">
        <f t="shared" si="60"/>
        <v>#DIV/0!</v>
      </c>
      <c r="BE140" t="e">
        <f t="shared" si="61"/>
        <v>#DIV/0!</v>
      </c>
      <c r="BF140" t="e">
        <f t="shared" si="69"/>
        <v>#DIV/0!</v>
      </c>
      <c r="BG140" t="e">
        <f t="shared" si="70"/>
        <v>#DIV/0!</v>
      </c>
      <c r="BH140" t="e">
        <f t="shared" si="71"/>
        <v>#DIV/0!</v>
      </c>
      <c r="BI140" t="e">
        <f t="shared" si="72"/>
        <v>#DIV/0!</v>
      </c>
      <c r="BJ140" t="e">
        <f t="shared" si="73"/>
        <v>#DIV/0!</v>
      </c>
      <c r="BK140" t="e">
        <f t="shared" si="74"/>
        <v>#DIV/0!</v>
      </c>
      <c r="BL140" t="e">
        <f t="shared" si="75"/>
        <v>#DIV/0!</v>
      </c>
      <c r="BM140" t="e">
        <f t="shared" si="76"/>
        <v>#DIV/0!</v>
      </c>
      <c r="BN140" t="e">
        <f t="shared" si="77"/>
        <v>#DIV/0!</v>
      </c>
      <c r="BO140" t="e">
        <f t="shared" si="78"/>
        <v>#DIV/0!</v>
      </c>
      <c r="BP140" t="e">
        <f t="shared" si="79"/>
        <v>#DIV/0!</v>
      </c>
      <c r="BQ140" t="e">
        <f t="shared" si="80"/>
        <v>#DIV/0!</v>
      </c>
      <c r="BR140" t="e">
        <f t="shared" si="81"/>
        <v>#DIV/0!</v>
      </c>
      <c r="BS140" t="e">
        <f t="shared" si="82"/>
        <v>#DIV/0!</v>
      </c>
      <c r="BT140" t="e">
        <f t="shared" si="83"/>
        <v>#DIV/0!</v>
      </c>
      <c r="BU140" t="e">
        <f t="shared" si="67"/>
        <v>#DIV/0!</v>
      </c>
    </row>
    <row r="141" spans="1:73" x14ac:dyDescent="0.3">
      <c r="A141">
        <v>2021</v>
      </c>
      <c r="B141">
        <f t="shared" si="64"/>
        <v>119.98157511054765</v>
      </c>
      <c r="C141">
        <f>'Charts  ST Demand &amp; Market Tigh'!C77</f>
        <v>111.8245</v>
      </c>
      <c r="D141" s="19">
        <f t="shared" si="65"/>
        <v>8.1570751105476518</v>
      </c>
      <c r="E141">
        <f t="shared" si="63"/>
        <v>124.47122533164296</v>
      </c>
      <c r="F141">
        <v>100</v>
      </c>
      <c r="G141" s="28"/>
      <c r="H141" s="12"/>
      <c r="I141">
        <v>2.4810895689321484</v>
      </c>
      <c r="S141" s="21"/>
      <c r="T141" s="57" t="e">
        <f t="shared" si="84"/>
        <v>#DIV/0!</v>
      </c>
      <c r="U141" s="58" t="e">
        <f t="shared" si="84"/>
        <v>#DIV/0!</v>
      </c>
      <c r="V141" s="58" t="e">
        <f t="shared" si="84"/>
        <v>#DIV/0!</v>
      </c>
      <c r="W141" s="58" t="e">
        <f t="shared" si="84"/>
        <v>#DIV/0!</v>
      </c>
      <c r="X141" s="58" t="e">
        <f t="shared" si="84"/>
        <v>#DIV/0!</v>
      </c>
      <c r="Y141" s="44" t="e">
        <f t="shared" si="84"/>
        <v>#DIV/0!</v>
      </c>
      <c r="Z141" s="58" t="e">
        <f t="shared" si="84"/>
        <v>#DIV/0!</v>
      </c>
      <c r="AA141" s="58" t="e">
        <f t="shared" si="84"/>
        <v>#DIV/0!</v>
      </c>
      <c r="AB141" s="58" t="e">
        <f t="shared" si="84"/>
        <v>#DIV/0!</v>
      </c>
      <c r="AC141" s="58" t="e">
        <f t="shared" si="85"/>
        <v>#DIV/0!</v>
      </c>
      <c r="AD141" s="58" t="e">
        <f t="shared" si="85"/>
        <v>#DIV/0!</v>
      </c>
      <c r="AE141" s="44" t="e">
        <f t="shared" si="85"/>
        <v>#DIV/0!</v>
      </c>
      <c r="AF141" s="44" t="e">
        <f t="shared" si="85"/>
        <v>#DIV/0!</v>
      </c>
      <c r="AG141" s="67" t="e">
        <f t="shared" si="85"/>
        <v>#DIV/0!</v>
      </c>
      <c r="AH141" s="58" t="e">
        <f t="shared" si="85"/>
        <v>#DIV/0!</v>
      </c>
      <c r="AI141" s="58" t="e">
        <f t="shared" si="85"/>
        <v>#DIV/0!</v>
      </c>
      <c r="AJ141" s="59" t="e">
        <f t="shared" si="85"/>
        <v>#DIV/0!</v>
      </c>
      <c r="AL141">
        <f t="shared" si="43"/>
        <v>0</v>
      </c>
      <c r="AM141" s="26" t="e">
        <f t="shared" si="44"/>
        <v>#DIV/0!</v>
      </c>
      <c r="AN141" s="35" t="e">
        <f t="shared" si="45"/>
        <v>#DIV/0!</v>
      </c>
      <c r="AO141" s="35" t="e">
        <f t="shared" si="46"/>
        <v>#DIV/0!</v>
      </c>
      <c r="AP141" s="35" t="e">
        <f t="shared" si="47"/>
        <v>#DIV/0!</v>
      </c>
      <c r="AQ141" s="35" t="e">
        <f t="shared" si="48"/>
        <v>#DIV/0!</v>
      </c>
      <c r="AR141" s="35" t="e">
        <f t="shared" si="49"/>
        <v>#DIV/0!</v>
      </c>
      <c r="AS141" s="35" t="e">
        <f t="shared" si="50"/>
        <v>#DIV/0!</v>
      </c>
      <c r="AT141" s="35" t="e">
        <f t="shared" si="51"/>
        <v>#DIV/0!</v>
      </c>
      <c r="AU141" s="35" t="e">
        <f t="shared" si="52"/>
        <v>#DIV/0!</v>
      </c>
      <c r="AV141" s="35" t="e">
        <f t="shared" si="53"/>
        <v>#DIV/0!</v>
      </c>
      <c r="AW141" s="35" t="e">
        <f t="shared" si="54"/>
        <v>#DIV/0!</v>
      </c>
      <c r="AX141" s="35" t="e">
        <f t="shared" si="55"/>
        <v>#DIV/0!</v>
      </c>
      <c r="AY141" s="35" t="e">
        <f t="shared" si="56"/>
        <v>#DIV/0!</v>
      </c>
      <c r="AZ141" s="35" t="e">
        <f t="shared" si="57"/>
        <v>#DIV/0!</v>
      </c>
      <c r="BA141" s="35" t="e">
        <f t="shared" si="58"/>
        <v>#DIV/0!</v>
      </c>
      <c r="BB141" s="35" t="e">
        <f t="shared" si="59"/>
        <v>#DIV/0!</v>
      </c>
      <c r="BC141" s="27" t="e">
        <f t="shared" si="60"/>
        <v>#DIV/0!</v>
      </c>
      <c r="BE141" t="e">
        <f t="shared" si="61"/>
        <v>#DIV/0!</v>
      </c>
      <c r="BF141" t="e">
        <f t="shared" si="69"/>
        <v>#DIV/0!</v>
      </c>
      <c r="BG141" t="e">
        <f t="shared" si="70"/>
        <v>#DIV/0!</v>
      </c>
      <c r="BH141" t="e">
        <f t="shared" si="71"/>
        <v>#DIV/0!</v>
      </c>
      <c r="BI141" t="e">
        <f t="shared" si="72"/>
        <v>#DIV/0!</v>
      </c>
      <c r="BJ141" t="e">
        <f t="shared" si="73"/>
        <v>#DIV/0!</v>
      </c>
      <c r="BK141" t="e">
        <f t="shared" si="74"/>
        <v>#DIV/0!</v>
      </c>
      <c r="BL141" t="e">
        <f t="shared" si="75"/>
        <v>#DIV/0!</v>
      </c>
      <c r="BM141" t="e">
        <f t="shared" si="76"/>
        <v>#DIV/0!</v>
      </c>
      <c r="BN141" t="e">
        <f t="shared" si="77"/>
        <v>#DIV/0!</v>
      </c>
      <c r="BO141" t="e">
        <f t="shared" si="78"/>
        <v>#DIV/0!</v>
      </c>
      <c r="BP141" t="e">
        <f t="shared" si="79"/>
        <v>#DIV/0!</v>
      </c>
      <c r="BQ141" t="e">
        <f t="shared" si="80"/>
        <v>#DIV/0!</v>
      </c>
      <c r="BR141" t="e">
        <f t="shared" si="81"/>
        <v>#DIV/0!</v>
      </c>
      <c r="BS141" t="e">
        <f t="shared" si="82"/>
        <v>#DIV/0!</v>
      </c>
      <c r="BT141" t="e">
        <f t="shared" si="83"/>
        <v>#DIV/0!</v>
      </c>
      <c r="BU141" t="e">
        <f t="shared" si="67"/>
        <v>#DIV/0!</v>
      </c>
    </row>
    <row r="142" spans="1:73" x14ac:dyDescent="0.3">
      <c r="A142">
        <v>2022</v>
      </c>
      <c r="B142">
        <f t="shared" si="64"/>
        <v>110.26014869992034</v>
      </c>
      <c r="C142">
        <f>'Charts  ST Demand &amp; Market Tigh'!C78</f>
        <v>112.803</v>
      </c>
      <c r="D142" s="19">
        <f t="shared" si="65"/>
        <v>-2.5428513000796613</v>
      </c>
      <c r="E142">
        <f t="shared" si="63"/>
        <v>92.371446099761016</v>
      </c>
      <c r="F142">
        <v>100</v>
      </c>
      <c r="G142" s="28"/>
      <c r="H142" s="12"/>
      <c r="I142">
        <v>2.7731287864709486</v>
      </c>
      <c r="Q142" s="33"/>
      <c r="R142" s="33"/>
      <c r="S142" s="34"/>
      <c r="T142" s="74" t="e">
        <f t="shared" si="84"/>
        <v>#DIV/0!</v>
      </c>
      <c r="U142" s="44" t="e">
        <f t="shared" si="84"/>
        <v>#DIV/0!</v>
      </c>
      <c r="V142" s="44" t="e">
        <f t="shared" si="84"/>
        <v>#DIV/0!</v>
      </c>
      <c r="W142" s="44" t="e">
        <f t="shared" si="84"/>
        <v>#DIV/0!</v>
      </c>
      <c r="X142" s="44" t="e">
        <f t="shared" si="84"/>
        <v>#DIV/0!</v>
      </c>
      <c r="Y142" s="44" t="e">
        <f t="shared" si="84"/>
        <v>#DIV/0!</v>
      </c>
      <c r="Z142" s="44" t="e">
        <f t="shared" si="84"/>
        <v>#DIV/0!</v>
      </c>
      <c r="AA142" s="44" t="e">
        <f t="shared" si="84"/>
        <v>#DIV/0!</v>
      </c>
      <c r="AB142" s="44" t="e">
        <f t="shared" si="84"/>
        <v>#DIV/0!</v>
      </c>
      <c r="AC142" s="44" t="e">
        <f t="shared" si="85"/>
        <v>#DIV/0!</v>
      </c>
      <c r="AD142" s="44" t="e">
        <f t="shared" si="85"/>
        <v>#DIV/0!</v>
      </c>
      <c r="AE142" s="44" t="e">
        <f t="shared" si="85"/>
        <v>#DIV/0!</v>
      </c>
      <c r="AF142" s="44" t="e">
        <f t="shared" si="85"/>
        <v>#DIV/0!</v>
      </c>
      <c r="AG142" s="67" t="e">
        <f t="shared" si="85"/>
        <v>#DIV/0!</v>
      </c>
      <c r="AH142" s="44" t="e">
        <f t="shared" si="85"/>
        <v>#DIV/0!</v>
      </c>
      <c r="AI142" s="44" t="e">
        <f t="shared" si="85"/>
        <v>#DIV/0!</v>
      </c>
      <c r="AJ142" s="75" t="e">
        <f t="shared" si="85"/>
        <v>#DIV/0!</v>
      </c>
      <c r="AL142">
        <f t="shared" si="43"/>
        <v>0</v>
      </c>
      <c r="AM142" s="26" t="e">
        <f t="shared" si="44"/>
        <v>#DIV/0!</v>
      </c>
      <c r="AN142" s="35" t="e">
        <f t="shared" si="45"/>
        <v>#DIV/0!</v>
      </c>
      <c r="AO142" s="35" t="e">
        <f t="shared" si="46"/>
        <v>#DIV/0!</v>
      </c>
      <c r="AP142" s="35" t="e">
        <f t="shared" si="47"/>
        <v>#DIV/0!</v>
      </c>
      <c r="AQ142" s="35" t="e">
        <f t="shared" si="48"/>
        <v>#DIV/0!</v>
      </c>
      <c r="AR142" s="35" t="e">
        <f t="shared" si="49"/>
        <v>#DIV/0!</v>
      </c>
      <c r="AS142" s="35" t="e">
        <f t="shared" si="50"/>
        <v>#DIV/0!</v>
      </c>
      <c r="AT142" s="35" t="e">
        <f t="shared" si="51"/>
        <v>#DIV/0!</v>
      </c>
      <c r="AU142" s="35" t="e">
        <f t="shared" si="52"/>
        <v>#DIV/0!</v>
      </c>
      <c r="AV142" s="35" t="e">
        <f t="shared" si="53"/>
        <v>#DIV/0!</v>
      </c>
      <c r="AW142" s="35" t="e">
        <f t="shared" si="54"/>
        <v>#DIV/0!</v>
      </c>
      <c r="AX142" s="35" t="e">
        <f t="shared" si="55"/>
        <v>#DIV/0!</v>
      </c>
      <c r="AY142" s="35" t="e">
        <f t="shared" si="56"/>
        <v>#DIV/0!</v>
      </c>
      <c r="AZ142" s="35" t="e">
        <f t="shared" si="57"/>
        <v>#DIV/0!</v>
      </c>
      <c r="BA142" s="35" t="e">
        <f t="shared" si="58"/>
        <v>#DIV/0!</v>
      </c>
      <c r="BB142" s="35" t="e">
        <f t="shared" si="59"/>
        <v>#DIV/0!</v>
      </c>
      <c r="BC142" s="27" t="e">
        <f t="shared" si="60"/>
        <v>#DIV/0!</v>
      </c>
      <c r="BE142" t="e">
        <f t="shared" si="61"/>
        <v>#DIV/0!</v>
      </c>
      <c r="BF142" t="e">
        <f t="shared" si="69"/>
        <v>#DIV/0!</v>
      </c>
      <c r="BG142" t="e">
        <f t="shared" si="70"/>
        <v>#DIV/0!</v>
      </c>
      <c r="BH142" t="e">
        <f t="shared" si="71"/>
        <v>#DIV/0!</v>
      </c>
      <c r="BI142" t="e">
        <f t="shared" si="72"/>
        <v>#DIV/0!</v>
      </c>
      <c r="BJ142" t="e">
        <f t="shared" si="73"/>
        <v>#DIV/0!</v>
      </c>
      <c r="BK142" t="e">
        <f t="shared" si="74"/>
        <v>#DIV/0!</v>
      </c>
      <c r="BL142" t="e">
        <f t="shared" si="75"/>
        <v>#DIV/0!</v>
      </c>
      <c r="BM142" t="e">
        <f t="shared" si="76"/>
        <v>#DIV/0!</v>
      </c>
      <c r="BN142" t="e">
        <f t="shared" si="77"/>
        <v>#DIV/0!</v>
      </c>
      <c r="BO142" t="e">
        <f t="shared" si="78"/>
        <v>#DIV/0!</v>
      </c>
      <c r="BP142" t="e">
        <f t="shared" si="79"/>
        <v>#DIV/0!</v>
      </c>
      <c r="BQ142" t="e">
        <f t="shared" si="80"/>
        <v>#DIV/0!</v>
      </c>
      <c r="BR142" t="e">
        <f t="shared" si="81"/>
        <v>#DIV/0!</v>
      </c>
      <c r="BS142" t="e">
        <f t="shared" si="82"/>
        <v>#DIV/0!</v>
      </c>
      <c r="BT142" t="e">
        <f t="shared" si="83"/>
        <v>#DIV/0!</v>
      </c>
      <c r="BU142" t="e">
        <f t="shared" si="67"/>
        <v>#DIV/0!</v>
      </c>
    </row>
    <row r="143" spans="1:73" x14ac:dyDescent="0.3">
      <c r="A143">
        <v>2023</v>
      </c>
      <c r="B143">
        <f t="shared" si="64"/>
        <v>112.14638189170572</v>
      </c>
      <c r="C143">
        <f>'Charts  ST Demand &amp; Market Tigh'!C79</f>
        <v>113.78149999999999</v>
      </c>
      <c r="D143" s="19">
        <f t="shared" si="65"/>
        <v>-1.6351181082942787</v>
      </c>
      <c r="E143">
        <f t="shared" si="63"/>
        <v>95.094645675117164</v>
      </c>
      <c r="F143">
        <v>100</v>
      </c>
      <c r="G143" s="28"/>
      <c r="H143" s="12"/>
      <c r="I143">
        <v>4.1205194810683992</v>
      </c>
      <c r="S143" s="21"/>
      <c r="T143" s="57" t="e">
        <f t="shared" si="84"/>
        <v>#DIV/0!</v>
      </c>
      <c r="U143" s="58" t="e">
        <f t="shared" si="84"/>
        <v>#DIV/0!</v>
      </c>
      <c r="V143" s="58" t="e">
        <f t="shared" si="84"/>
        <v>#DIV/0!</v>
      </c>
      <c r="W143" s="58" t="e">
        <f t="shared" si="84"/>
        <v>#DIV/0!</v>
      </c>
      <c r="X143" s="58" t="e">
        <f t="shared" si="84"/>
        <v>#DIV/0!</v>
      </c>
      <c r="Y143" s="44" t="e">
        <f t="shared" si="84"/>
        <v>#DIV/0!</v>
      </c>
      <c r="Z143" s="58" t="e">
        <f t="shared" si="84"/>
        <v>#DIV/0!</v>
      </c>
      <c r="AA143" s="58" t="e">
        <f t="shared" si="84"/>
        <v>#DIV/0!</v>
      </c>
      <c r="AB143" s="58" t="e">
        <f t="shared" si="84"/>
        <v>#DIV/0!</v>
      </c>
      <c r="AC143" s="58" t="e">
        <f t="shared" si="85"/>
        <v>#DIV/0!</v>
      </c>
      <c r="AD143" s="58" t="e">
        <f t="shared" si="85"/>
        <v>#DIV/0!</v>
      </c>
      <c r="AE143" s="44" t="e">
        <f t="shared" si="85"/>
        <v>#DIV/0!</v>
      </c>
      <c r="AF143" s="44" t="e">
        <f t="shared" si="85"/>
        <v>#DIV/0!</v>
      </c>
      <c r="AG143" s="67" t="e">
        <f t="shared" si="85"/>
        <v>#DIV/0!</v>
      </c>
      <c r="AH143" s="58" t="e">
        <f t="shared" si="85"/>
        <v>#DIV/0!</v>
      </c>
      <c r="AI143" s="58" t="e">
        <f t="shared" si="85"/>
        <v>#DIV/0!</v>
      </c>
      <c r="AJ143" s="59" t="e">
        <f t="shared" si="85"/>
        <v>#DIV/0!</v>
      </c>
      <c r="AL143">
        <f t="shared" si="43"/>
        <v>0</v>
      </c>
      <c r="AM143" s="26" t="e">
        <f t="shared" si="44"/>
        <v>#DIV/0!</v>
      </c>
      <c r="AN143" s="35" t="e">
        <f t="shared" si="45"/>
        <v>#DIV/0!</v>
      </c>
      <c r="AO143" s="35" t="e">
        <f t="shared" si="46"/>
        <v>#DIV/0!</v>
      </c>
      <c r="AP143" s="35" t="e">
        <f t="shared" si="47"/>
        <v>#DIV/0!</v>
      </c>
      <c r="AQ143" s="35" t="e">
        <f t="shared" si="48"/>
        <v>#DIV/0!</v>
      </c>
      <c r="AR143" s="35" t="e">
        <f t="shared" si="49"/>
        <v>#DIV/0!</v>
      </c>
      <c r="AS143" s="35" t="e">
        <f t="shared" si="50"/>
        <v>#DIV/0!</v>
      </c>
      <c r="AT143" s="35" t="e">
        <f t="shared" si="51"/>
        <v>#DIV/0!</v>
      </c>
      <c r="AU143" s="35" t="e">
        <f t="shared" si="52"/>
        <v>#DIV/0!</v>
      </c>
      <c r="AV143" s="35" t="e">
        <f t="shared" si="53"/>
        <v>#DIV/0!</v>
      </c>
      <c r="AW143" s="35" t="e">
        <f t="shared" si="54"/>
        <v>#DIV/0!</v>
      </c>
      <c r="AX143" s="35" t="e">
        <f t="shared" si="55"/>
        <v>#DIV/0!</v>
      </c>
      <c r="AY143" s="35" t="e">
        <f t="shared" si="56"/>
        <v>#DIV/0!</v>
      </c>
      <c r="AZ143" s="35" t="e">
        <f t="shared" si="57"/>
        <v>#DIV/0!</v>
      </c>
      <c r="BA143" s="35" t="e">
        <f t="shared" si="58"/>
        <v>#DIV/0!</v>
      </c>
      <c r="BB143" s="35" t="e">
        <f t="shared" si="59"/>
        <v>#DIV/0!</v>
      </c>
      <c r="BC143" s="27" t="e">
        <f t="shared" si="60"/>
        <v>#DIV/0!</v>
      </c>
      <c r="BE143" t="e">
        <f t="shared" si="61"/>
        <v>#DIV/0!</v>
      </c>
      <c r="BF143" t="e">
        <f t="shared" si="69"/>
        <v>#DIV/0!</v>
      </c>
      <c r="BG143" t="e">
        <f t="shared" si="70"/>
        <v>#DIV/0!</v>
      </c>
      <c r="BH143" t="e">
        <f t="shared" si="71"/>
        <v>#DIV/0!</v>
      </c>
      <c r="BI143" t="e">
        <f t="shared" si="72"/>
        <v>#DIV/0!</v>
      </c>
      <c r="BJ143" t="e">
        <f t="shared" si="73"/>
        <v>#DIV/0!</v>
      </c>
      <c r="BK143" t="e">
        <f t="shared" si="74"/>
        <v>#DIV/0!</v>
      </c>
      <c r="BL143" t="e">
        <f t="shared" si="75"/>
        <v>#DIV/0!</v>
      </c>
      <c r="BM143" t="e">
        <f t="shared" si="76"/>
        <v>#DIV/0!</v>
      </c>
      <c r="BN143" t="e">
        <f t="shared" si="77"/>
        <v>#DIV/0!</v>
      </c>
      <c r="BO143" t="e">
        <f t="shared" si="78"/>
        <v>#DIV/0!</v>
      </c>
      <c r="BP143" t="e">
        <f t="shared" si="79"/>
        <v>#DIV/0!</v>
      </c>
      <c r="BQ143" t="e">
        <f t="shared" si="80"/>
        <v>#DIV/0!</v>
      </c>
      <c r="BR143" t="e">
        <f t="shared" si="81"/>
        <v>#DIV/0!</v>
      </c>
      <c r="BS143" t="e">
        <f t="shared" si="82"/>
        <v>#DIV/0!</v>
      </c>
      <c r="BT143" t="e">
        <f t="shared" si="83"/>
        <v>#DIV/0!</v>
      </c>
      <c r="BU143" t="e">
        <f t="shared" si="67"/>
        <v>#DIV/0!</v>
      </c>
    </row>
    <row r="144" spans="1:73" x14ac:dyDescent="0.3">
      <c r="A144">
        <v>2024</v>
      </c>
      <c r="B144">
        <f t="shared" si="64"/>
        <v>111.71476731195573</v>
      </c>
      <c r="C144">
        <f>'Charts  ST Demand &amp; Market Tigh'!C80</f>
        <v>114.76</v>
      </c>
      <c r="D144" s="19">
        <f t="shared" si="65"/>
        <v>-3.0452326880442797</v>
      </c>
      <c r="E144">
        <f t="shared" si="63"/>
        <v>90.864301935867161</v>
      </c>
      <c r="F144">
        <v>100</v>
      </c>
      <c r="G144" s="28"/>
      <c r="H144" s="12"/>
      <c r="I144">
        <v>5.3768374024553651</v>
      </c>
      <c r="S144" s="21"/>
      <c r="T144" s="57" t="e">
        <f t="shared" si="84"/>
        <v>#DIV/0!</v>
      </c>
      <c r="U144" s="58" t="e">
        <f t="shared" si="84"/>
        <v>#DIV/0!</v>
      </c>
      <c r="V144" s="58" t="e">
        <f t="shared" si="84"/>
        <v>#DIV/0!</v>
      </c>
      <c r="W144" s="58" t="e">
        <f t="shared" si="84"/>
        <v>#DIV/0!</v>
      </c>
      <c r="X144" s="58" t="e">
        <f t="shared" si="84"/>
        <v>#DIV/0!</v>
      </c>
      <c r="Y144" s="44" t="e">
        <f t="shared" si="84"/>
        <v>#DIV/0!</v>
      </c>
      <c r="Z144" s="58" t="e">
        <f t="shared" si="84"/>
        <v>#DIV/0!</v>
      </c>
      <c r="AA144" s="58" t="e">
        <f t="shared" si="84"/>
        <v>#DIV/0!</v>
      </c>
      <c r="AB144" s="58" t="e">
        <f t="shared" si="84"/>
        <v>#DIV/0!</v>
      </c>
      <c r="AC144" s="58" t="e">
        <f t="shared" si="85"/>
        <v>#DIV/0!</v>
      </c>
      <c r="AD144" s="58" t="e">
        <f t="shared" si="85"/>
        <v>#DIV/0!</v>
      </c>
      <c r="AE144" s="44" t="e">
        <f t="shared" si="85"/>
        <v>#DIV/0!</v>
      </c>
      <c r="AF144" s="44" t="e">
        <f t="shared" si="85"/>
        <v>#DIV/0!</v>
      </c>
      <c r="AG144" s="67" t="e">
        <f t="shared" si="85"/>
        <v>#DIV/0!</v>
      </c>
      <c r="AH144" s="58" t="e">
        <f t="shared" si="85"/>
        <v>#DIV/0!</v>
      </c>
      <c r="AI144" s="58" t="e">
        <f t="shared" si="85"/>
        <v>#DIV/0!</v>
      </c>
      <c r="AJ144" s="59" t="e">
        <f t="shared" si="85"/>
        <v>#DIV/0!</v>
      </c>
      <c r="AL144">
        <f t="shared" si="43"/>
        <v>0</v>
      </c>
      <c r="AM144" s="26" t="e">
        <f t="shared" si="44"/>
        <v>#DIV/0!</v>
      </c>
      <c r="AN144" s="35" t="e">
        <f t="shared" si="45"/>
        <v>#DIV/0!</v>
      </c>
      <c r="AO144" s="35" t="e">
        <f t="shared" si="46"/>
        <v>#DIV/0!</v>
      </c>
      <c r="AP144" s="35" t="e">
        <f t="shared" si="47"/>
        <v>#DIV/0!</v>
      </c>
      <c r="AQ144" s="35" t="e">
        <f t="shared" si="48"/>
        <v>#DIV/0!</v>
      </c>
      <c r="AR144" s="35" t="e">
        <f t="shared" si="49"/>
        <v>#DIV/0!</v>
      </c>
      <c r="AS144" s="35" t="e">
        <f t="shared" si="50"/>
        <v>#DIV/0!</v>
      </c>
      <c r="AT144" s="35" t="e">
        <f t="shared" si="51"/>
        <v>#DIV/0!</v>
      </c>
      <c r="AU144" s="35" t="e">
        <f t="shared" si="52"/>
        <v>#DIV/0!</v>
      </c>
      <c r="AV144" s="35" t="e">
        <f t="shared" si="53"/>
        <v>#DIV/0!</v>
      </c>
      <c r="AW144" s="35" t="e">
        <f t="shared" si="54"/>
        <v>#DIV/0!</v>
      </c>
      <c r="AX144" s="35" t="e">
        <f t="shared" si="55"/>
        <v>#DIV/0!</v>
      </c>
      <c r="AY144" s="35" t="e">
        <f t="shared" si="56"/>
        <v>#DIV/0!</v>
      </c>
      <c r="AZ144" s="35" t="e">
        <f t="shared" si="57"/>
        <v>#DIV/0!</v>
      </c>
      <c r="BA144" s="35" t="e">
        <f t="shared" si="58"/>
        <v>#DIV/0!</v>
      </c>
      <c r="BB144" s="35" t="e">
        <f t="shared" si="59"/>
        <v>#DIV/0!</v>
      </c>
      <c r="BC144" s="27" t="e">
        <f t="shared" si="60"/>
        <v>#DIV/0!</v>
      </c>
      <c r="BE144" t="e">
        <f t="shared" si="61"/>
        <v>#DIV/0!</v>
      </c>
      <c r="BF144" t="e">
        <f t="shared" si="69"/>
        <v>#DIV/0!</v>
      </c>
      <c r="BG144" t="e">
        <f t="shared" si="70"/>
        <v>#DIV/0!</v>
      </c>
      <c r="BH144" t="e">
        <f t="shared" si="71"/>
        <v>#DIV/0!</v>
      </c>
      <c r="BI144" t="e">
        <f t="shared" si="72"/>
        <v>#DIV/0!</v>
      </c>
      <c r="BJ144" t="e">
        <f t="shared" si="73"/>
        <v>#DIV/0!</v>
      </c>
      <c r="BK144" t="e">
        <f t="shared" si="74"/>
        <v>#DIV/0!</v>
      </c>
      <c r="BL144" t="e">
        <f t="shared" si="75"/>
        <v>#DIV/0!</v>
      </c>
      <c r="BM144" t="e">
        <f t="shared" si="76"/>
        <v>#DIV/0!</v>
      </c>
      <c r="BN144" t="e">
        <f t="shared" si="77"/>
        <v>#DIV/0!</v>
      </c>
      <c r="BO144" t="e">
        <f t="shared" si="78"/>
        <v>#DIV/0!</v>
      </c>
      <c r="BP144" t="e">
        <f t="shared" si="79"/>
        <v>#DIV/0!</v>
      </c>
      <c r="BQ144" t="e">
        <f t="shared" si="80"/>
        <v>#DIV/0!</v>
      </c>
      <c r="BR144" t="e">
        <f t="shared" si="81"/>
        <v>#DIV/0!</v>
      </c>
      <c r="BS144" t="e">
        <f t="shared" si="82"/>
        <v>#DIV/0!</v>
      </c>
      <c r="BT144" t="e">
        <f t="shared" si="83"/>
        <v>#DIV/0!</v>
      </c>
      <c r="BU144" t="e">
        <f t="shared" si="67"/>
        <v>#DIV/0!</v>
      </c>
    </row>
    <row r="145" spans="1:73" x14ac:dyDescent="0.3">
      <c r="A145" s="3">
        <v>2025</v>
      </c>
      <c r="B145" s="3">
        <f t="shared" si="64"/>
        <v>118.51162878647095</v>
      </c>
      <c r="C145">
        <f>'Charts  ST Demand &amp; Market Tigh'!C81</f>
        <v>115.7385</v>
      </c>
      <c r="D145" s="19">
        <f>B145-C145</f>
        <v>2.7731287864709486</v>
      </c>
      <c r="E145">
        <f t="shared" si="63"/>
        <v>108.31938635941285</v>
      </c>
      <c r="F145">
        <v>100</v>
      </c>
      <c r="G145" s="28"/>
      <c r="H145" s="12"/>
      <c r="I145">
        <v>8.1570751105476518</v>
      </c>
      <c r="S145" s="21"/>
      <c r="T145" s="57" t="e">
        <f t="shared" si="84"/>
        <v>#DIV/0!</v>
      </c>
      <c r="U145" s="58" t="e">
        <f t="shared" si="84"/>
        <v>#DIV/0!</v>
      </c>
      <c r="V145" s="58" t="e">
        <f t="shared" si="84"/>
        <v>#DIV/0!</v>
      </c>
      <c r="W145" s="58" t="e">
        <f t="shared" si="84"/>
        <v>#DIV/0!</v>
      </c>
      <c r="X145" s="58" t="e">
        <f t="shared" si="84"/>
        <v>#DIV/0!</v>
      </c>
      <c r="Y145" s="44" t="e">
        <f t="shared" si="84"/>
        <v>#DIV/0!</v>
      </c>
      <c r="Z145" s="58" t="e">
        <f t="shared" si="84"/>
        <v>#DIV/0!</v>
      </c>
      <c r="AA145" s="58" t="e">
        <f t="shared" si="84"/>
        <v>#DIV/0!</v>
      </c>
      <c r="AB145" s="58" t="e">
        <f t="shared" si="84"/>
        <v>#DIV/0!</v>
      </c>
      <c r="AC145" s="58" t="e">
        <f t="shared" si="85"/>
        <v>#DIV/0!</v>
      </c>
      <c r="AD145" s="58" t="e">
        <f t="shared" si="85"/>
        <v>#DIV/0!</v>
      </c>
      <c r="AE145" s="44" t="e">
        <f t="shared" si="85"/>
        <v>#DIV/0!</v>
      </c>
      <c r="AF145" s="44" t="e">
        <f t="shared" si="85"/>
        <v>#DIV/0!</v>
      </c>
      <c r="AG145" s="67" t="e">
        <f t="shared" si="85"/>
        <v>#DIV/0!</v>
      </c>
      <c r="AH145" s="58" t="e">
        <f t="shared" si="85"/>
        <v>#DIV/0!</v>
      </c>
      <c r="AI145" s="58" t="e">
        <f t="shared" si="85"/>
        <v>#DIV/0!</v>
      </c>
      <c r="AJ145" s="59" t="e">
        <f t="shared" si="85"/>
        <v>#DIV/0!</v>
      </c>
      <c r="AL145">
        <f t="shared" si="43"/>
        <v>0</v>
      </c>
      <c r="AM145" s="26" t="e">
        <f t="shared" si="44"/>
        <v>#DIV/0!</v>
      </c>
      <c r="AN145" s="35" t="e">
        <f t="shared" si="45"/>
        <v>#DIV/0!</v>
      </c>
      <c r="AO145" s="35" t="e">
        <f t="shared" si="46"/>
        <v>#DIV/0!</v>
      </c>
      <c r="AP145" s="35" t="e">
        <f t="shared" si="47"/>
        <v>#DIV/0!</v>
      </c>
      <c r="AQ145" s="35" t="e">
        <f t="shared" si="48"/>
        <v>#DIV/0!</v>
      </c>
      <c r="AR145" s="35" t="e">
        <f t="shared" si="49"/>
        <v>#DIV/0!</v>
      </c>
      <c r="AS145" s="35" t="e">
        <f t="shared" si="50"/>
        <v>#DIV/0!</v>
      </c>
      <c r="AT145" s="35" t="e">
        <f t="shared" si="51"/>
        <v>#DIV/0!</v>
      </c>
      <c r="AU145" s="35" t="e">
        <f t="shared" si="52"/>
        <v>#DIV/0!</v>
      </c>
      <c r="AV145" s="35" t="e">
        <f t="shared" si="53"/>
        <v>#DIV/0!</v>
      </c>
      <c r="AW145" s="35" t="e">
        <f t="shared" si="54"/>
        <v>#DIV/0!</v>
      </c>
      <c r="AX145" s="35" t="e">
        <f t="shared" si="55"/>
        <v>#DIV/0!</v>
      </c>
      <c r="AY145" s="35" t="e">
        <f t="shared" si="56"/>
        <v>#DIV/0!</v>
      </c>
      <c r="AZ145" s="35" t="e">
        <f t="shared" si="57"/>
        <v>#DIV/0!</v>
      </c>
      <c r="BA145" s="35" t="e">
        <f t="shared" si="58"/>
        <v>#DIV/0!</v>
      </c>
      <c r="BB145" s="35" t="e">
        <f t="shared" si="59"/>
        <v>#DIV/0!</v>
      </c>
      <c r="BC145" s="27" t="e">
        <f t="shared" si="60"/>
        <v>#DIV/0!</v>
      </c>
      <c r="BE145" t="e">
        <f t="shared" si="61"/>
        <v>#DIV/0!</v>
      </c>
      <c r="BF145" t="e">
        <f t="shared" si="69"/>
        <v>#DIV/0!</v>
      </c>
      <c r="BG145" t="e">
        <f t="shared" si="70"/>
        <v>#DIV/0!</v>
      </c>
      <c r="BH145" t="e">
        <f t="shared" si="71"/>
        <v>#DIV/0!</v>
      </c>
      <c r="BI145" t="e">
        <f t="shared" si="72"/>
        <v>#DIV/0!</v>
      </c>
      <c r="BJ145" t="e">
        <f t="shared" si="73"/>
        <v>#DIV/0!</v>
      </c>
      <c r="BK145" t="e">
        <f t="shared" si="74"/>
        <v>#DIV/0!</v>
      </c>
      <c r="BL145" t="e">
        <f t="shared" si="75"/>
        <v>#DIV/0!</v>
      </c>
      <c r="BM145" t="e">
        <f t="shared" si="76"/>
        <v>#DIV/0!</v>
      </c>
      <c r="BN145" t="e">
        <f t="shared" si="77"/>
        <v>#DIV/0!</v>
      </c>
      <c r="BO145" t="e">
        <f t="shared" si="78"/>
        <v>#DIV/0!</v>
      </c>
      <c r="BP145" t="e">
        <f t="shared" si="79"/>
        <v>#DIV/0!</v>
      </c>
      <c r="BQ145" t="e">
        <f t="shared" si="80"/>
        <v>#DIV/0!</v>
      </c>
      <c r="BR145" t="e">
        <f t="shared" si="81"/>
        <v>#DIV/0!</v>
      </c>
      <c r="BS145" t="e">
        <f t="shared" si="82"/>
        <v>#DIV/0!</v>
      </c>
      <c r="BT145" t="e">
        <f t="shared" si="83"/>
        <v>#DIV/0!</v>
      </c>
      <c r="BU145" t="e">
        <f t="shared" si="67"/>
        <v>#DIV/0!</v>
      </c>
    </row>
    <row r="146" spans="1:73" x14ac:dyDescent="0.3">
      <c r="C146" t="s">
        <v>37</v>
      </c>
      <c r="D146" s="19">
        <f>AVERAGE(D129:D145)</f>
        <v>-9.6220432528117703E-5</v>
      </c>
      <c r="G146" s="28"/>
      <c r="S146" s="21"/>
      <c r="T146" s="57" t="e">
        <f t="shared" si="84"/>
        <v>#DIV/0!</v>
      </c>
      <c r="U146" s="58" t="e">
        <f t="shared" si="84"/>
        <v>#DIV/0!</v>
      </c>
      <c r="V146" s="58" t="e">
        <f t="shared" si="84"/>
        <v>#DIV/0!</v>
      </c>
      <c r="W146" s="58" t="e">
        <f t="shared" si="84"/>
        <v>#DIV/0!</v>
      </c>
      <c r="X146" s="58" t="e">
        <f t="shared" si="84"/>
        <v>#DIV/0!</v>
      </c>
      <c r="Y146" s="44" t="e">
        <f t="shared" si="84"/>
        <v>#DIV/0!</v>
      </c>
      <c r="Z146" s="58" t="e">
        <f t="shared" si="84"/>
        <v>#DIV/0!</v>
      </c>
      <c r="AA146" s="58" t="e">
        <f t="shared" si="84"/>
        <v>#DIV/0!</v>
      </c>
      <c r="AB146" s="58" t="e">
        <f t="shared" si="84"/>
        <v>#DIV/0!</v>
      </c>
      <c r="AC146" s="58" t="e">
        <f t="shared" si="85"/>
        <v>#DIV/0!</v>
      </c>
      <c r="AD146" s="58" t="e">
        <f t="shared" si="85"/>
        <v>#DIV/0!</v>
      </c>
      <c r="AE146" s="44" t="e">
        <f t="shared" si="85"/>
        <v>#DIV/0!</v>
      </c>
      <c r="AF146" s="44" t="e">
        <f t="shared" si="85"/>
        <v>#DIV/0!</v>
      </c>
      <c r="AG146" s="67" t="e">
        <f t="shared" si="85"/>
        <v>#DIV/0!</v>
      </c>
      <c r="AH146" s="58" t="e">
        <f t="shared" si="85"/>
        <v>#DIV/0!</v>
      </c>
      <c r="AI146" s="58" t="e">
        <f t="shared" si="85"/>
        <v>#DIV/0!</v>
      </c>
      <c r="AJ146" s="59" t="e">
        <f t="shared" si="85"/>
        <v>#DIV/0!</v>
      </c>
      <c r="AL146">
        <f t="shared" si="43"/>
        <v>0</v>
      </c>
      <c r="AM146" s="26" t="e">
        <f t="shared" si="44"/>
        <v>#DIV/0!</v>
      </c>
      <c r="AN146" s="35" t="e">
        <f t="shared" si="45"/>
        <v>#DIV/0!</v>
      </c>
      <c r="AO146" s="35" t="e">
        <f t="shared" si="46"/>
        <v>#DIV/0!</v>
      </c>
      <c r="AP146" s="35" t="e">
        <f t="shared" si="47"/>
        <v>#DIV/0!</v>
      </c>
      <c r="AQ146" s="35" t="e">
        <f t="shared" si="48"/>
        <v>#DIV/0!</v>
      </c>
      <c r="AR146" s="35" t="e">
        <f t="shared" si="49"/>
        <v>#DIV/0!</v>
      </c>
      <c r="AS146" s="35" t="e">
        <f t="shared" si="50"/>
        <v>#DIV/0!</v>
      </c>
      <c r="AT146" s="35" t="e">
        <f t="shared" si="51"/>
        <v>#DIV/0!</v>
      </c>
      <c r="AU146" s="35" t="e">
        <f t="shared" si="52"/>
        <v>#DIV/0!</v>
      </c>
      <c r="AV146" s="35" t="e">
        <f t="shared" si="53"/>
        <v>#DIV/0!</v>
      </c>
      <c r="AW146" s="35" t="e">
        <f t="shared" si="54"/>
        <v>#DIV/0!</v>
      </c>
      <c r="AX146" s="35" t="e">
        <f t="shared" si="55"/>
        <v>#DIV/0!</v>
      </c>
      <c r="AY146" s="35" t="e">
        <f t="shared" si="56"/>
        <v>#DIV/0!</v>
      </c>
      <c r="AZ146" s="35" t="e">
        <f t="shared" si="57"/>
        <v>#DIV/0!</v>
      </c>
      <c r="BA146" s="35" t="e">
        <f t="shared" si="58"/>
        <v>#DIV/0!</v>
      </c>
      <c r="BB146" s="35" t="e">
        <f t="shared" si="59"/>
        <v>#DIV/0!</v>
      </c>
      <c r="BC146" s="27" t="e">
        <f t="shared" si="60"/>
        <v>#DIV/0!</v>
      </c>
      <c r="BE146" t="e">
        <f t="shared" si="61"/>
        <v>#DIV/0!</v>
      </c>
      <c r="BF146" t="e">
        <f t="shared" si="69"/>
        <v>#DIV/0!</v>
      </c>
      <c r="BG146" t="e">
        <f t="shared" si="70"/>
        <v>#DIV/0!</v>
      </c>
      <c r="BH146" t="e">
        <f t="shared" si="71"/>
        <v>#DIV/0!</v>
      </c>
      <c r="BI146" t="e">
        <f t="shared" si="72"/>
        <v>#DIV/0!</v>
      </c>
      <c r="BJ146" t="e">
        <f t="shared" si="73"/>
        <v>#DIV/0!</v>
      </c>
      <c r="BK146" t="e">
        <f t="shared" si="74"/>
        <v>#DIV/0!</v>
      </c>
      <c r="BL146" t="e">
        <f t="shared" si="75"/>
        <v>#DIV/0!</v>
      </c>
      <c r="BM146" t="e">
        <f t="shared" si="76"/>
        <v>#DIV/0!</v>
      </c>
      <c r="BN146" t="e">
        <f t="shared" si="77"/>
        <v>#DIV/0!</v>
      </c>
      <c r="BO146" t="e">
        <f t="shared" si="78"/>
        <v>#DIV/0!</v>
      </c>
      <c r="BP146" t="e">
        <f t="shared" si="79"/>
        <v>#DIV/0!</v>
      </c>
      <c r="BQ146" t="e">
        <f t="shared" si="80"/>
        <v>#DIV/0!</v>
      </c>
      <c r="BR146" t="e">
        <f t="shared" si="81"/>
        <v>#DIV/0!</v>
      </c>
      <c r="BS146" t="e">
        <f t="shared" si="82"/>
        <v>#DIV/0!</v>
      </c>
      <c r="BT146" t="e">
        <f t="shared" si="83"/>
        <v>#DIV/0!</v>
      </c>
      <c r="BU146" t="e">
        <f t="shared" si="67"/>
        <v>#DIV/0!</v>
      </c>
    </row>
    <row r="147" spans="1:73" x14ac:dyDescent="0.3">
      <c r="C147" t="s">
        <v>38</v>
      </c>
      <c r="D147" s="12">
        <f>MIN(D129:D146)</f>
        <v>-8.9737782128411823</v>
      </c>
      <c r="G147" s="28"/>
      <c r="H147" s="12"/>
      <c r="S147" s="21"/>
      <c r="T147" s="57" t="e">
        <f t="shared" si="84"/>
        <v>#DIV/0!</v>
      </c>
      <c r="U147" s="58" t="e">
        <f t="shared" si="84"/>
        <v>#DIV/0!</v>
      </c>
      <c r="V147" s="58" t="e">
        <f t="shared" si="84"/>
        <v>#DIV/0!</v>
      </c>
      <c r="W147" s="58" t="e">
        <f t="shared" si="84"/>
        <v>#DIV/0!</v>
      </c>
      <c r="X147" s="58" t="e">
        <f t="shared" si="84"/>
        <v>#DIV/0!</v>
      </c>
      <c r="Y147" s="44" t="e">
        <f t="shared" si="84"/>
        <v>#DIV/0!</v>
      </c>
      <c r="Z147" s="58" t="e">
        <f t="shared" si="84"/>
        <v>#DIV/0!</v>
      </c>
      <c r="AA147" s="58" t="e">
        <f t="shared" si="84"/>
        <v>#DIV/0!</v>
      </c>
      <c r="AB147" s="58" t="e">
        <f t="shared" si="84"/>
        <v>#DIV/0!</v>
      </c>
      <c r="AC147" s="58" t="e">
        <f t="shared" si="85"/>
        <v>#DIV/0!</v>
      </c>
      <c r="AD147" s="58" t="e">
        <f t="shared" si="85"/>
        <v>#DIV/0!</v>
      </c>
      <c r="AE147" s="44" t="e">
        <f t="shared" si="85"/>
        <v>#DIV/0!</v>
      </c>
      <c r="AF147" s="44" t="e">
        <f t="shared" si="85"/>
        <v>#DIV/0!</v>
      </c>
      <c r="AG147" s="67" t="e">
        <f t="shared" si="85"/>
        <v>#DIV/0!</v>
      </c>
      <c r="AH147" s="58" t="e">
        <f t="shared" si="85"/>
        <v>#DIV/0!</v>
      </c>
      <c r="AI147" s="58" t="e">
        <f t="shared" si="85"/>
        <v>#DIV/0!</v>
      </c>
      <c r="AJ147" s="59" t="e">
        <f t="shared" si="85"/>
        <v>#DIV/0!</v>
      </c>
      <c r="AL147">
        <f t="shared" si="43"/>
        <v>0</v>
      </c>
      <c r="AM147" s="26" t="e">
        <f t="shared" si="44"/>
        <v>#DIV/0!</v>
      </c>
      <c r="AN147" s="35" t="e">
        <f t="shared" si="45"/>
        <v>#DIV/0!</v>
      </c>
      <c r="AO147" s="35" t="e">
        <f t="shared" si="46"/>
        <v>#DIV/0!</v>
      </c>
      <c r="AP147" s="35" t="e">
        <f t="shared" si="47"/>
        <v>#DIV/0!</v>
      </c>
      <c r="AQ147" s="35" t="e">
        <f t="shared" si="48"/>
        <v>#DIV/0!</v>
      </c>
      <c r="AR147" s="35" t="e">
        <f t="shared" si="49"/>
        <v>#DIV/0!</v>
      </c>
      <c r="AS147" s="35" t="e">
        <f t="shared" si="50"/>
        <v>#DIV/0!</v>
      </c>
      <c r="AT147" s="35" t="e">
        <f t="shared" si="51"/>
        <v>#DIV/0!</v>
      </c>
      <c r="AU147" s="35" t="e">
        <f t="shared" si="52"/>
        <v>#DIV/0!</v>
      </c>
      <c r="AV147" s="35" t="e">
        <f t="shared" si="53"/>
        <v>#DIV/0!</v>
      </c>
      <c r="AW147" s="35" t="e">
        <f t="shared" si="54"/>
        <v>#DIV/0!</v>
      </c>
      <c r="AX147" s="35" t="e">
        <f t="shared" si="55"/>
        <v>#DIV/0!</v>
      </c>
      <c r="AY147" s="35" t="e">
        <f t="shared" si="56"/>
        <v>#DIV/0!</v>
      </c>
      <c r="AZ147" s="35" t="e">
        <f t="shared" si="57"/>
        <v>#DIV/0!</v>
      </c>
      <c r="BA147" s="35" t="e">
        <f t="shared" si="58"/>
        <v>#DIV/0!</v>
      </c>
      <c r="BB147" s="35" t="e">
        <f t="shared" si="59"/>
        <v>#DIV/0!</v>
      </c>
      <c r="BC147" s="27" t="e">
        <f t="shared" si="60"/>
        <v>#DIV/0!</v>
      </c>
      <c r="BE147" t="e">
        <f t="shared" si="61"/>
        <v>#DIV/0!</v>
      </c>
      <c r="BF147" t="e">
        <f t="shared" si="69"/>
        <v>#DIV/0!</v>
      </c>
      <c r="BG147" t="e">
        <f t="shared" si="70"/>
        <v>#DIV/0!</v>
      </c>
      <c r="BH147" t="e">
        <f t="shared" si="71"/>
        <v>#DIV/0!</v>
      </c>
      <c r="BI147" t="e">
        <f t="shared" si="72"/>
        <v>#DIV/0!</v>
      </c>
      <c r="BJ147" t="e">
        <f t="shared" si="73"/>
        <v>#DIV/0!</v>
      </c>
      <c r="BK147" t="e">
        <f t="shared" si="74"/>
        <v>#DIV/0!</v>
      </c>
      <c r="BL147" t="e">
        <f t="shared" si="75"/>
        <v>#DIV/0!</v>
      </c>
      <c r="BM147" t="e">
        <f t="shared" si="76"/>
        <v>#DIV/0!</v>
      </c>
      <c r="BN147" t="e">
        <f t="shared" si="77"/>
        <v>#DIV/0!</v>
      </c>
      <c r="BO147" t="e">
        <f t="shared" si="78"/>
        <v>#DIV/0!</v>
      </c>
      <c r="BP147" t="e">
        <f t="shared" si="79"/>
        <v>#DIV/0!</v>
      </c>
      <c r="BQ147" t="e">
        <f t="shared" si="80"/>
        <v>#DIV/0!</v>
      </c>
      <c r="BR147" t="e">
        <f t="shared" si="81"/>
        <v>#DIV/0!</v>
      </c>
      <c r="BS147" t="e">
        <f t="shared" si="82"/>
        <v>#DIV/0!</v>
      </c>
      <c r="BT147" t="e">
        <f t="shared" si="83"/>
        <v>#DIV/0!</v>
      </c>
      <c r="BU147" t="e">
        <f t="shared" si="67"/>
        <v>#DIV/0!</v>
      </c>
    </row>
    <row r="148" spans="1:73" ht="16.2" thickBot="1" x14ac:dyDescent="0.35">
      <c r="B148" s="12"/>
      <c r="C148" t="s">
        <v>39</v>
      </c>
      <c r="D148" s="12">
        <f>MAX(D129:D145)</f>
        <v>8.1570751105476518</v>
      </c>
      <c r="G148" s="28"/>
      <c r="H148" s="12"/>
      <c r="S148" s="21"/>
      <c r="T148" s="60" t="e">
        <f t="shared" si="84"/>
        <v>#DIV/0!</v>
      </c>
      <c r="U148" s="61" t="e">
        <f t="shared" si="84"/>
        <v>#DIV/0!</v>
      </c>
      <c r="V148" s="61" t="e">
        <f t="shared" si="84"/>
        <v>#DIV/0!</v>
      </c>
      <c r="W148" s="61" t="e">
        <f t="shared" si="84"/>
        <v>#DIV/0!</v>
      </c>
      <c r="X148" s="61" t="e">
        <f t="shared" si="84"/>
        <v>#DIV/0!</v>
      </c>
      <c r="Y148" s="77" t="e">
        <f t="shared" si="84"/>
        <v>#DIV/0!</v>
      </c>
      <c r="Z148" s="61" t="e">
        <f t="shared" si="84"/>
        <v>#DIV/0!</v>
      </c>
      <c r="AA148" s="61" t="e">
        <f t="shared" si="84"/>
        <v>#DIV/0!</v>
      </c>
      <c r="AB148" s="61" t="e">
        <f t="shared" si="84"/>
        <v>#DIV/0!</v>
      </c>
      <c r="AC148" s="61" t="e">
        <f t="shared" si="85"/>
        <v>#DIV/0!</v>
      </c>
      <c r="AD148" s="61" t="e">
        <f t="shared" si="85"/>
        <v>#DIV/0!</v>
      </c>
      <c r="AE148" s="77" t="e">
        <f t="shared" si="85"/>
        <v>#DIV/0!</v>
      </c>
      <c r="AF148" s="77" t="e">
        <f t="shared" si="85"/>
        <v>#DIV/0!</v>
      </c>
      <c r="AG148" s="70" t="e">
        <f t="shared" si="85"/>
        <v>#DIV/0!</v>
      </c>
      <c r="AH148" s="61" t="e">
        <f t="shared" si="85"/>
        <v>#DIV/0!</v>
      </c>
      <c r="AI148" s="61" t="e">
        <f t="shared" si="85"/>
        <v>#DIV/0!</v>
      </c>
      <c r="AJ148" s="62" t="e">
        <f t="shared" si="85"/>
        <v>#DIV/0!</v>
      </c>
      <c r="AL148">
        <f t="shared" si="43"/>
        <v>0</v>
      </c>
      <c r="AM148" s="29" t="e">
        <f t="shared" si="44"/>
        <v>#DIV/0!</v>
      </c>
      <c r="AN148" s="30" t="e">
        <f t="shared" si="45"/>
        <v>#DIV/0!</v>
      </c>
      <c r="AO148" s="30" t="e">
        <f t="shared" si="46"/>
        <v>#DIV/0!</v>
      </c>
      <c r="AP148" s="30" t="e">
        <f t="shared" si="47"/>
        <v>#DIV/0!</v>
      </c>
      <c r="AQ148" s="30" t="e">
        <f t="shared" si="48"/>
        <v>#DIV/0!</v>
      </c>
      <c r="AR148" s="30" t="e">
        <f t="shared" si="49"/>
        <v>#DIV/0!</v>
      </c>
      <c r="AS148" s="30" t="e">
        <f t="shared" si="50"/>
        <v>#DIV/0!</v>
      </c>
      <c r="AT148" s="30" t="e">
        <f t="shared" si="51"/>
        <v>#DIV/0!</v>
      </c>
      <c r="AU148" s="30" t="e">
        <f t="shared" si="52"/>
        <v>#DIV/0!</v>
      </c>
      <c r="AV148" s="30" t="e">
        <f t="shared" si="53"/>
        <v>#DIV/0!</v>
      </c>
      <c r="AW148" s="30" t="e">
        <f t="shared" si="54"/>
        <v>#DIV/0!</v>
      </c>
      <c r="AX148" s="30" t="e">
        <f t="shared" si="55"/>
        <v>#DIV/0!</v>
      </c>
      <c r="AY148" s="30" t="e">
        <f t="shared" si="56"/>
        <v>#DIV/0!</v>
      </c>
      <c r="AZ148" s="30" t="e">
        <f t="shared" si="57"/>
        <v>#DIV/0!</v>
      </c>
      <c r="BA148" s="30" t="e">
        <f t="shared" si="58"/>
        <v>#DIV/0!</v>
      </c>
      <c r="BB148" s="30" t="e">
        <f t="shared" si="59"/>
        <v>#DIV/0!</v>
      </c>
      <c r="BC148" s="31" t="e">
        <f t="shared" si="60"/>
        <v>#DIV/0!</v>
      </c>
      <c r="BE148" t="e">
        <f t="shared" si="61"/>
        <v>#DIV/0!</v>
      </c>
      <c r="BF148" t="e">
        <f t="shared" si="69"/>
        <v>#DIV/0!</v>
      </c>
      <c r="BG148" t="e">
        <f t="shared" si="70"/>
        <v>#DIV/0!</v>
      </c>
      <c r="BH148" t="e">
        <f t="shared" si="71"/>
        <v>#DIV/0!</v>
      </c>
      <c r="BI148" t="e">
        <f t="shared" si="72"/>
        <v>#DIV/0!</v>
      </c>
      <c r="BJ148" t="e">
        <f t="shared" si="73"/>
        <v>#DIV/0!</v>
      </c>
      <c r="BK148" t="e">
        <f t="shared" si="74"/>
        <v>#DIV/0!</v>
      </c>
      <c r="BL148" t="e">
        <f t="shared" si="75"/>
        <v>#DIV/0!</v>
      </c>
      <c r="BM148" t="e">
        <f t="shared" si="76"/>
        <v>#DIV/0!</v>
      </c>
      <c r="BN148" t="e">
        <f t="shared" si="77"/>
        <v>#DIV/0!</v>
      </c>
      <c r="BO148" t="e">
        <f t="shared" si="78"/>
        <v>#DIV/0!</v>
      </c>
      <c r="BP148" t="e">
        <f t="shared" si="79"/>
        <v>#DIV/0!</v>
      </c>
      <c r="BQ148" t="e">
        <f t="shared" si="80"/>
        <v>#DIV/0!</v>
      </c>
      <c r="BR148" t="e">
        <f t="shared" si="81"/>
        <v>#DIV/0!</v>
      </c>
      <c r="BS148" t="e">
        <f t="shared" si="82"/>
        <v>#DIV/0!</v>
      </c>
      <c r="BT148" t="e">
        <f t="shared" si="83"/>
        <v>#DIV/0!</v>
      </c>
      <c r="BU148" t="e">
        <f t="shared" si="67"/>
        <v>#DIV/0!</v>
      </c>
    </row>
    <row r="149" spans="1:73" x14ac:dyDescent="0.3">
      <c r="C149" t="s">
        <v>41</v>
      </c>
      <c r="D149" s="20">
        <f>STDEV(D129:D145)</f>
        <v>4.2877813793290986</v>
      </c>
      <c r="G149" s="28"/>
      <c r="H149" s="12"/>
      <c r="AE149" s="33"/>
      <c r="AF149" s="33"/>
      <c r="AG149" s="3"/>
    </row>
    <row r="150" spans="1:73" x14ac:dyDescent="0.3">
      <c r="G150" s="28"/>
      <c r="AE150" s="33"/>
      <c r="AF150" s="33"/>
      <c r="AG150" s="3"/>
    </row>
    <row r="151" spans="1:73" x14ac:dyDescent="0.3">
      <c r="AE151" s="33"/>
      <c r="AF151" s="33"/>
      <c r="AG151" s="3"/>
    </row>
    <row r="152" spans="1:73" x14ac:dyDescent="0.3">
      <c r="A152" t="s">
        <v>45</v>
      </c>
      <c r="B152" t="s">
        <v>33</v>
      </c>
      <c r="C152" t="s">
        <v>34</v>
      </c>
      <c r="D152" t="s">
        <v>46</v>
      </c>
      <c r="AE152" s="33"/>
      <c r="AF152" s="33"/>
      <c r="AG152" s="3"/>
    </row>
    <row r="153" spans="1:73" x14ac:dyDescent="0.3">
      <c r="B153" s="3"/>
      <c r="G153" s="12"/>
      <c r="AE153" s="33"/>
      <c r="AF153" s="33"/>
      <c r="AG153" s="3"/>
    </row>
    <row r="154" spans="1:73" x14ac:dyDescent="0.3">
      <c r="B154" s="3"/>
      <c r="G154" s="12"/>
      <c r="AE154" s="33"/>
      <c r="AF154" s="33"/>
      <c r="AG154" s="3"/>
    </row>
    <row r="155" spans="1:73" x14ac:dyDescent="0.3">
      <c r="B155" s="3"/>
      <c r="G155" s="12"/>
      <c r="N155" t="s">
        <v>53</v>
      </c>
      <c r="AE155" s="33"/>
      <c r="AF155" s="33"/>
      <c r="AG155" s="3"/>
    </row>
    <row r="156" spans="1:73" x14ac:dyDescent="0.3">
      <c r="B156" s="3"/>
      <c r="G156" s="12"/>
      <c r="AE156" s="33"/>
      <c r="AF156" s="33"/>
      <c r="AG156" s="3"/>
    </row>
    <row r="157" spans="1:73" x14ac:dyDescent="0.3">
      <c r="B157" s="3"/>
      <c r="G157" s="12"/>
      <c r="N157" s="17" t="s">
        <v>54</v>
      </c>
      <c r="AE157" s="33"/>
      <c r="AF157" s="33"/>
      <c r="AG157" s="3"/>
    </row>
    <row r="158" spans="1:73" x14ac:dyDescent="0.3">
      <c r="B158" s="3"/>
      <c r="G158" s="12"/>
      <c r="AE158" s="33"/>
      <c r="AF158" s="33"/>
      <c r="AG158" s="3"/>
    </row>
    <row r="159" spans="1:73" x14ac:dyDescent="0.3">
      <c r="B159" s="3"/>
      <c r="G159" s="12"/>
      <c r="T159">
        <v>-17.890884325958886</v>
      </c>
      <c r="U159">
        <v>-9.8241139484491153</v>
      </c>
      <c r="V159">
        <v>-5.6447845828123961</v>
      </c>
      <c r="W159">
        <v>-2.7555613507016257</v>
      </c>
      <c r="X159">
        <v>-1.2736648106218145</v>
      </c>
      <c r="Y159">
        <v>-1.2299331665810276</v>
      </c>
      <c r="Z159">
        <v>-1.176974007037193</v>
      </c>
      <c r="AA159">
        <v>-0.92341234650133686</v>
      </c>
      <c r="AB159">
        <v>-0.21156803744567035</v>
      </c>
      <c r="AC159">
        <v>0.7460847217040657</v>
      </c>
      <c r="AD159">
        <v>1.5829127068747273</v>
      </c>
      <c r="AE159" s="33">
        <v>3.6218311217547097</v>
      </c>
      <c r="AF159" s="33">
        <v>4.2110972339017465</v>
      </c>
      <c r="AG159" s="3">
        <v>5.4028523238193893</v>
      </c>
      <c r="AH159">
        <v>6.6052291160038381</v>
      </c>
      <c r="AI159">
        <v>8.5633169108010687</v>
      </c>
      <c r="AJ159">
        <v>10.145098906409007</v>
      </c>
    </row>
    <row r="160" spans="1:73" ht="16.2" thickBot="1" x14ac:dyDescent="0.35">
      <c r="B160" s="3"/>
      <c r="G160" s="12"/>
      <c r="T160">
        <f>$C$178*(1+(T159/100))</f>
        <v>362286.93094217597</v>
      </c>
      <c r="U160">
        <f t="shared" ref="U160:AI160" si="86">$C$178*(1+(U159/100))</f>
        <v>397879.63534158806</v>
      </c>
      <c r="V160">
        <f t="shared" si="86"/>
        <v>416319.93148707098</v>
      </c>
      <c r="W160">
        <f t="shared" si="86"/>
        <v>429067.94136363053</v>
      </c>
      <c r="X160">
        <f t="shared" si="86"/>
        <v>435606.45715535618</v>
      </c>
      <c r="Y160">
        <f t="shared" si="86"/>
        <v>435799.41262655484</v>
      </c>
      <c r="Z160">
        <f t="shared" si="86"/>
        <v>436033.0823137621</v>
      </c>
      <c r="AA160">
        <f t="shared" si="86"/>
        <v>437151.86279320129</v>
      </c>
      <c r="AB160">
        <f t="shared" si="86"/>
        <v>440292.7063879639</v>
      </c>
      <c r="AC160">
        <f t="shared" si="86"/>
        <v>444518.12126635551</v>
      </c>
      <c r="AD160">
        <f t="shared" si="86"/>
        <v>448210.42558586044</v>
      </c>
      <c r="AE160">
        <f t="shared" si="86"/>
        <v>457206.66782893572</v>
      </c>
      <c r="AF160">
        <f t="shared" si="86"/>
        <v>459806.6643034498</v>
      </c>
      <c r="AG160">
        <f t="shared" si="86"/>
        <v>465065</v>
      </c>
      <c r="AH160">
        <f t="shared" si="86"/>
        <v>470370.20142983733</v>
      </c>
      <c r="AI160">
        <f t="shared" si="86"/>
        <v>479009.79779948498</v>
      </c>
      <c r="AJ160">
        <f>$C$178*(1+(AJ159/100))</f>
        <v>485989.03439098998</v>
      </c>
    </row>
    <row r="161" spans="1:76" x14ac:dyDescent="0.3">
      <c r="B161" s="3"/>
      <c r="G161" s="12"/>
      <c r="R161">
        <v>-8.9737782128411823</v>
      </c>
      <c r="S161">
        <f>$C$145+R161</f>
        <v>106.76472178715882</v>
      </c>
      <c r="T161" s="53">
        <f>IF(BE123&gt;105,"NA",IF(BE123&lt;93,"NA",T123))</f>
        <v>7.6763592671880563</v>
      </c>
      <c r="U161" s="55">
        <f t="shared" ref="U161:AJ176" si="87">IF(BF123&gt;105,"NA",IF(BF123&lt;93,"NA",U123))</f>
        <v>5.2262077721860969</v>
      </c>
      <c r="V161" s="55">
        <f t="shared" si="87"/>
        <v>4.446805717847111</v>
      </c>
      <c r="W161" s="55">
        <f t="shared" si="87"/>
        <v>4.0318904288334361</v>
      </c>
      <c r="X161" s="55">
        <f t="shared" si="87"/>
        <v>3.8499604281410007</v>
      </c>
      <c r="Y161" s="55">
        <f t="shared" si="87"/>
        <v>3.8448732263970973</v>
      </c>
      <c r="Z161" s="55">
        <f t="shared" si="87"/>
        <v>3.8387333257787688</v>
      </c>
      <c r="AA161" s="55">
        <f t="shared" si="87"/>
        <v>3.80964780151553</v>
      </c>
      <c r="AB161" s="55">
        <f t="shared" si="87"/>
        <v>3.7306751577595527</v>
      </c>
      <c r="AC161" s="55">
        <f t="shared" si="87"/>
        <v>3.6303636083738544</v>
      </c>
      <c r="AD161" s="55">
        <f t="shared" si="87"/>
        <v>3.5479253307367955</v>
      </c>
      <c r="AE161" s="76">
        <f t="shared" si="87"/>
        <v>3.3655234681851667</v>
      </c>
      <c r="AF161" s="76">
        <f t="shared" si="87"/>
        <v>3.3172680253801401</v>
      </c>
      <c r="AG161" s="69" t="str">
        <f t="shared" si="87"/>
        <v>NA</v>
      </c>
      <c r="AH161" s="55" t="str">
        <f t="shared" si="87"/>
        <v>NA</v>
      </c>
      <c r="AI161" s="55" t="str">
        <f t="shared" si="87"/>
        <v>NA</v>
      </c>
      <c r="AJ161" s="56" t="str">
        <f>IF(BU123&gt;105,"NA",IF(BU123&lt;93,"NA",AJ123))</f>
        <v>NA</v>
      </c>
    </row>
    <row r="162" spans="1:76" x14ac:dyDescent="0.3">
      <c r="A162">
        <v>2009</v>
      </c>
      <c r="B162" s="3">
        <f t="shared" ref="B162:B178" si="88">K75</f>
        <v>374637</v>
      </c>
      <c r="C162">
        <f>'Charts  ST Demand &amp; Market Tigh'!C98</f>
        <v>351424.6</v>
      </c>
      <c r="D162">
        <f t="shared" ref="D162:D184" si="89">(B162/C162)-1</f>
        <v>6.6052291160038301E-2</v>
      </c>
      <c r="E162">
        <f t="shared" ref="E162:E184" si="90">((D162*100)*3)+100</f>
        <v>119.81568734801149</v>
      </c>
      <c r="F162">
        <v>100</v>
      </c>
      <c r="G162" s="12">
        <f t="shared" ref="G162:G184" si="91">((B162-C162)/C162)*100</f>
        <v>6.6052291160038381</v>
      </c>
      <c r="R162">
        <v>-6.64323172584605</v>
      </c>
      <c r="S162">
        <f t="shared" ref="S162:S177" si="92">$C$145+R162</f>
        <v>109.09526827415395</v>
      </c>
      <c r="T162" s="57">
        <f>IF(BE124&gt;105,"NA",IF(BE124&lt;93,"NA",T124))</f>
        <v>8.4594611618899247</v>
      </c>
      <c r="U162" s="58">
        <f t="shared" si="87"/>
        <v>5.6774524951562544</v>
      </c>
      <c r="V162" s="58">
        <f t="shared" si="87"/>
        <v>4.7924854739478979</v>
      </c>
      <c r="W162" s="58">
        <f t="shared" si="87"/>
        <v>4.3213725928256501</v>
      </c>
      <c r="X162" s="58">
        <f t="shared" si="87"/>
        <v>4.1148013503136385</v>
      </c>
      <c r="Y162" s="58">
        <f t="shared" si="87"/>
        <v>4.1090251199989707</v>
      </c>
      <c r="Z162" s="58">
        <f t="shared" si="87"/>
        <v>4.102053609556485</v>
      </c>
      <c r="AA162" s="58">
        <f t="shared" si="87"/>
        <v>4.0690286391651096</v>
      </c>
      <c r="AB162" s="58">
        <f t="shared" si="87"/>
        <v>3.9793596616295721</v>
      </c>
      <c r="AC162" s="58">
        <f t="shared" si="87"/>
        <v>3.8654615617227845</v>
      </c>
      <c r="AD162" s="58">
        <f t="shared" si="87"/>
        <v>3.7718575526136626</v>
      </c>
      <c r="AE162" s="44">
        <f t="shared" si="87"/>
        <v>3.5647505376057627</v>
      </c>
      <c r="AF162" s="44">
        <f t="shared" si="87"/>
        <v>3.509959207202519</v>
      </c>
      <c r="AG162" s="67">
        <f t="shared" si="87"/>
        <v>3.405444365529906</v>
      </c>
      <c r="AH162" s="58" t="str">
        <f t="shared" si="87"/>
        <v>NA</v>
      </c>
      <c r="AI162" s="58" t="str">
        <f t="shared" si="87"/>
        <v>NA</v>
      </c>
      <c r="AJ162" s="59" t="str">
        <f t="shared" si="87"/>
        <v>NA</v>
      </c>
    </row>
    <row r="163" spans="1:76" x14ac:dyDescent="0.3">
      <c r="A163">
        <v>2010</v>
      </c>
      <c r="B163" s="3">
        <f t="shared" si="88"/>
        <v>359701</v>
      </c>
      <c r="C163">
        <f>'Charts  ST Demand &amp; Market Tigh'!C99</f>
        <v>357037.2</v>
      </c>
      <c r="D163">
        <f t="shared" si="89"/>
        <v>7.4608472170407669E-3</v>
      </c>
      <c r="E163">
        <f t="shared" si="90"/>
        <v>102.23825416511222</v>
      </c>
      <c r="F163">
        <v>100</v>
      </c>
      <c r="G163" s="12">
        <f t="shared" si="91"/>
        <v>0.7460847217040657</v>
      </c>
      <c r="R163">
        <v>-3.0506116050937635</v>
      </c>
      <c r="S163">
        <f t="shared" si="92"/>
        <v>112.68788839490624</v>
      </c>
      <c r="T163" s="57">
        <f t="shared" ref="T163:T186" si="93">IF(BE125&gt;105,"NA",IF(BE125&lt;93,"NA",T125))</f>
        <v>9.8378467477196079</v>
      </c>
      <c r="U163" s="58">
        <f t="shared" si="87"/>
        <v>6.4717159569507956</v>
      </c>
      <c r="V163" s="58">
        <f t="shared" si="87"/>
        <v>5.4009375749402473</v>
      </c>
      <c r="W163" s="58">
        <f t="shared" si="87"/>
        <v>4.8309078715693694</v>
      </c>
      <c r="X163" s="58">
        <f t="shared" si="87"/>
        <v>4.5809640708106727</v>
      </c>
      <c r="Y163" s="58">
        <f t="shared" si="87"/>
        <v>4.5739750391267382</v>
      </c>
      <c r="Z163" s="58">
        <f t="shared" si="87"/>
        <v>4.5655397613221691</v>
      </c>
      <c r="AA163" s="58">
        <f t="shared" si="87"/>
        <v>4.5255807306304519</v>
      </c>
      <c r="AB163" s="58">
        <f t="shared" si="87"/>
        <v>4.4170844811872332</v>
      </c>
      <c r="AC163" s="58">
        <f t="shared" si="87"/>
        <v>4.2792718619489039</v>
      </c>
      <c r="AD163" s="58">
        <f t="shared" si="87"/>
        <v>4.1660143653173236</v>
      </c>
      <c r="AE163" s="44">
        <f t="shared" si="87"/>
        <v>3.9154222990385268</v>
      </c>
      <c r="AF163" s="44">
        <f t="shared" si="87"/>
        <v>3.84912675275107</v>
      </c>
      <c r="AG163" s="67">
        <f t="shared" si="87"/>
        <v>3.7226675397179321</v>
      </c>
      <c r="AH163" s="58">
        <f t="shared" si="87"/>
        <v>3.6046740531042847</v>
      </c>
      <c r="AI163" s="58">
        <f t="shared" si="87"/>
        <v>3.4310459773567281</v>
      </c>
      <c r="AJ163" s="59" t="str">
        <f t="shared" si="87"/>
        <v>NA</v>
      </c>
    </row>
    <row r="164" spans="1:76" x14ac:dyDescent="0.3">
      <c r="A164">
        <v>2011</v>
      </c>
      <c r="B164" s="3">
        <f t="shared" si="88"/>
        <v>342179</v>
      </c>
      <c r="C164">
        <f>'Charts  ST Demand &amp; Market Tigh'!C100</f>
        <v>362649.8</v>
      </c>
      <c r="D164">
        <f t="shared" si="89"/>
        <v>-5.644784582812401E-2</v>
      </c>
      <c r="E164">
        <f t="shared" si="90"/>
        <v>83.065646251562796</v>
      </c>
      <c r="F164">
        <v>100</v>
      </c>
      <c r="G164" s="12">
        <f t="shared" si="91"/>
        <v>-5.6447845828123961</v>
      </c>
      <c r="R164">
        <v>-3.0452326880442797</v>
      </c>
      <c r="S164">
        <f t="shared" si="92"/>
        <v>112.69326731195572</v>
      </c>
      <c r="T164" s="57">
        <f t="shared" si="93"/>
        <v>9.8400773253590454</v>
      </c>
      <c r="U164" s="58">
        <f t="shared" si="87"/>
        <v>6.4730012767741574</v>
      </c>
      <c r="V164" s="58">
        <f t="shared" si="87"/>
        <v>5.4019222048327054</v>
      </c>
      <c r="W164" s="58">
        <f t="shared" si="87"/>
        <v>4.8317324289435586</v>
      </c>
      <c r="X164" s="58">
        <f t="shared" si="87"/>
        <v>4.5817184403799498</v>
      </c>
      <c r="Y164" s="58">
        <f t="shared" si="87"/>
        <v>4.5747274460756566</v>
      </c>
      <c r="Z164" s="58">
        <f t="shared" si="87"/>
        <v>4.5662897995240685</v>
      </c>
      <c r="AA164" s="58">
        <f t="shared" si="87"/>
        <v>4.5263195477632863</v>
      </c>
      <c r="AB164" s="58">
        <f t="shared" si="87"/>
        <v>4.4177928310167527</v>
      </c>
      <c r="AC164" s="58">
        <f t="shared" si="87"/>
        <v>4.2799415120178992</v>
      </c>
      <c r="AD164" s="58">
        <f t="shared" si="87"/>
        <v>4.1666522110564888</v>
      </c>
      <c r="AE164" s="44">
        <f t="shared" si="87"/>
        <v>3.9159897749305248</v>
      </c>
      <c r="AF164" s="44">
        <f t="shared" si="87"/>
        <v>3.8496756119026028</v>
      </c>
      <c r="AG164" s="67">
        <f t="shared" si="87"/>
        <v>3.7231808873082803</v>
      </c>
      <c r="AH164" s="58">
        <f t="shared" si="87"/>
        <v>3.6051542664308736</v>
      </c>
      <c r="AI164" s="58">
        <f t="shared" si="87"/>
        <v>3.4314774334288041</v>
      </c>
      <c r="AJ164" s="59" t="str">
        <f t="shared" si="87"/>
        <v>NA</v>
      </c>
    </row>
    <row r="165" spans="1:76" x14ac:dyDescent="0.3">
      <c r="A165">
        <v>2012</v>
      </c>
      <c r="B165" s="3">
        <f t="shared" si="88"/>
        <v>302377</v>
      </c>
      <c r="C165">
        <f>'Charts  ST Demand &amp; Market Tigh'!C101</f>
        <v>368262.40000000002</v>
      </c>
      <c r="D165">
        <f t="shared" si="89"/>
        <v>-0.17890884325958889</v>
      </c>
      <c r="E165">
        <f t="shared" si="90"/>
        <v>46.327347022123334</v>
      </c>
      <c r="F165">
        <v>100</v>
      </c>
      <c r="G165" s="12">
        <f t="shared" si="91"/>
        <v>-17.890884325958886</v>
      </c>
      <c r="R165">
        <v>-2.5428513000796613</v>
      </c>
      <c r="S165">
        <f t="shared" si="92"/>
        <v>113.19564869992034</v>
      </c>
      <c r="T165" s="57">
        <f t="shared" si="93"/>
        <v>10.050714220549764</v>
      </c>
      <c r="U165" s="58">
        <f t="shared" si="87"/>
        <v>6.5943760149285229</v>
      </c>
      <c r="V165" s="58">
        <f t="shared" si="87"/>
        <v>5.4949023279149927</v>
      </c>
      <c r="W165" s="58">
        <f t="shared" si="87"/>
        <v>4.9095966566372251</v>
      </c>
      <c r="X165" s="58">
        <f t="shared" si="87"/>
        <v>4.6529547251384304</v>
      </c>
      <c r="Y165" s="58">
        <f t="shared" si="87"/>
        <v>4.6457783975590869</v>
      </c>
      <c r="Z165" s="58">
        <f t="shared" si="87"/>
        <v>4.6371170665641905</v>
      </c>
      <c r="AA165" s="58">
        <f t="shared" si="87"/>
        <v>4.5960871919027166</v>
      </c>
      <c r="AB165" s="58">
        <f t="shared" si="87"/>
        <v>4.4846834005985867</v>
      </c>
      <c r="AC165" s="58">
        <f t="shared" si="87"/>
        <v>4.3431776033798837</v>
      </c>
      <c r="AD165" s="58">
        <f t="shared" si="87"/>
        <v>4.2268849703799187</v>
      </c>
      <c r="AE165" s="44">
        <f t="shared" si="87"/>
        <v>3.9695774007868931</v>
      </c>
      <c r="AF165" s="44">
        <f t="shared" si="87"/>
        <v>3.9015052301736031</v>
      </c>
      <c r="AG165" s="67">
        <f t="shared" si="87"/>
        <v>3.7716570939520748</v>
      </c>
      <c r="AH165" s="58">
        <f t="shared" si="87"/>
        <v>3.6505015533190077</v>
      </c>
      <c r="AI165" s="58">
        <f t="shared" si="87"/>
        <v>3.4722204973895945</v>
      </c>
      <c r="AJ165" s="59">
        <f t="shared" si="87"/>
        <v>3.3435358793270096</v>
      </c>
    </row>
    <row r="166" spans="1:76" x14ac:dyDescent="0.3">
      <c r="A166">
        <v>2013</v>
      </c>
      <c r="B166" s="3">
        <f t="shared" si="88"/>
        <v>373084</v>
      </c>
      <c r="C166">
        <f>'Charts  ST Demand &amp; Market Tigh'!C102</f>
        <v>373875</v>
      </c>
      <c r="D166">
        <f t="shared" si="89"/>
        <v>-2.1156803744567521E-3</v>
      </c>
      <c r="E166">
        <f t="shared" si="90"/>
        <v>99.365295887662981</v>
      </c>
      <c r="F166">
        <v>100</v>
      </c>
      <c r="G166" s="12">
        <f t="shared" si="91"/>
        <v>-0.21156803744567035</v>
      </c>
      <c r="R166">
        <v>-2.0141923492686971</v>
      </c>
      <c r="S166">
        <f t="shared" si="92"/>
        <v>113.7243076507313</v>
      </c>
      <c r="T166" s="57">
        <f t="shared" si="93"/>
        <v>10.277352531263164</v>
      </c>
      <c r="U166" s="58">
        <f t="shared" si="87"/>
        <v>6.7249712062110394</v>
      </c>
      <c r="V166" s="58">
        <f t="shared" si="87"/>
        <v>5.5949458554566132</v>
      </c>
      <c r="W166" s="58">
        <f t="shared" si="87"/>
        <v>4.993375982255932</v>
      </c>
      <c r="X166" s="58">
        <f t="shared" si="87"/>
        <v>4.7296026040607995</v>
      </c>
      <c r="Y166" s="58">
        <f t="shared" si="87"/>
        <v>4.7222268640264877</v>
      </c>
      <c r="Z166" s="58">
        <f t="shared" si="87"/>
        <v>4.7133248559919956</v>
      </c>
      <c r="AA166" s="58">
        <f t="shared" si="87"/>
        <v>4.6711548622455492</v>
      </c>
      <c r="AB166" s="58">
        <f t="shared" si="87"/>
        <v>4.5566554341730416</v>
      </c>
      <c r="AC166" s="58">
        <f t="shared" si="87"/>
        <v>4.4112175396380682</v>
      </c>
      <c r="AD166" s="58">
        <f t="shared" si="87"/>
        <v>4.291693421009187</v>
      </c>
      <c r="AE166" s="44">
        <f t="shared" si="87"/>
        <v>4.0272359082778699</v>
      </c>
      <c r="AF166" s="44">
        <f t="shared" si="87"/>
        <v>3.9572721798299044</v>
      </c>
      <c r="AG166" s="67">
        <f t="shared" si="87"/>
        <v>3.8238158839570078</v>
      </c>
      <c r="AH166" s="58">
        <f t="shared" si="87"/>
        <v>3.6992937294781632</v>
      </c>
      <c r="AI166" s="58">
        <f t="shared" si="87"/>
        <v>3.5160586824378552</v>
      </c>
      <c r="AJ166" s="59">
        <f t="shared" si="87"/>
        <v>3.38379823602566</v>
      </c>
    </row>
    <row r="167" spans="1:76" x14ac:dyDescent="0.3">
      <c r="A167">
        <v>2014</v>
      </c>
      <c r="B167" s="3">
        <f t="shared" si="88"/>
        <v>393232</v>
      </c>
      <c r="C167">
        <f>'Charts  ST Demand &amp; Market Tigh'!C103</f>
        <v>379487.6</v>
      </c>
      <c r="D167">
        <f t="shared" si="89"/>
        <v>3.621831121754715E-2</v>
      </c>
      <c r="E167">
        <f t="shared" si="90"/>
        <v>110.86549336526414</v>
      </c>
      <c r="F167">
        <v>100</v>
      </c>
      <c r="G167" s="12">
        <f t="shared" si="91"/>
        <v>3.6218311217547097</v>
      </c>
      <c r="R167">
        <v>-1.6351181082942787</v>
      </c>
      <c r="S167">
        <f t="shared" si="92"/>
        <v>114.10338189170572</v>
      </c>
      <c r="T167" s="57">
        <f t="shared" si="93"/>
        <v>10.443060523367626</v>
      </c>
      <c r="U167" s="58">
        <f t="shared" si="87"/>
        <v>6.8204566819799179</v>
      </c>
      <c r="V167" s="58">
        <f t="shared" si="87"/>
        <v>5.668093294738993</v>
      </c>
      <c r="W167" s="58">
        <f t="shared" si="87"/>
        <v>5.054631750464063</v>
      </c>
      <c r="X167" s="58">
        <f t="shared" si="87"/>
        <v>4.7856441712402908</v>
      </c>
      <c r="Y167" s="58">
        <f t="shared" si="87"/>
        <v>4.7781226295654307</v>
      </c>
      <c r="Z167" s="58">
        <f t="shared" si="87"/>
        <v>4.7690446490360348</v>
      </c>
      <c r="AA167" s="58">
        <f t="shared" si="87"/>
        <v>4.7260410502219532</v>
      </c>
      <c r="AB167" s="58">
        <f t="shared" si="87"/>
        <v>4.609278228323582</v>
      </c>
      <c r="AC167" s="58">
        <f t="shared" si="87"/>
        <v>4.4609653566985177</v>
      </c>
      <c r="AD167" s="58">
        <f t="shared" si="87"/>
        <v>4.3390785175154765</v>
      </c>
      <c r="AE167" s="44">
        <f t="shared" si="87"/>
        <v>4.06939327996845</v>
      </c>
      <c r="AF167" s="44">
        <f t="shared" si="87"/>
        <v>3.9980465273982722</v>
      </c>
      <c r="AG167" s="67">
        <f t="shared" si="87"/>
        <v>3.8619521034474786</v>
      </c>
      <c r="AH167" s="58">
        <f t="shared" si="87"/>
        <v>3.7349684285892284</v>
      </c>
      <c r="AI167" s="58">
        <f t="shared" si="87"/>
        <v>3.5481112405379616</v>
      </c>
      <c r="AJ167" s="59">
        <f t="shared" si="87"/>
        <v>3.4132363052776142</v>
      </c>
    </row>
    <row r="168" spans="1:76" x14ac:dyDescent="0.3">
      <c r="A168">
        <v>2015</v>
      </c>
      <c r="B168" s="3">
        <f t="shared" si="88"/>
        <v>391196</v>
      </c>
      <c r="C168">
        <f>'Charts  ST Demand &amp; Market Tigh'!C104</f>
        <v>385100.2</v>
      </c>
      <c r="D168">
        <f t="shared" si="89"/>
        <v>1.5829127068747173E-2</v>
      </c>
      <c r="E168">
        <f t="shared" si="90"/>
        <v>104.74873812062415</v>
      </c>
      <c r="F168">
        <v>100</v>
      </c>
      <c r="G168" s="12">
        <f t="shared" si="91"/>
        <v>1.5829127068747273</v>
      </c>
      <c r="R168">
        <v>-0.66182253940235114</v>
      </c>
      <c r="S168">
        <f t="shared" si="92"/>
        <v>115.07667746059765</v>
      </c>
      <c r="T168" s="57">
        <f t="shared" si="93"/>
        <v>10.881020164343617</v>
      </c>
      <c r="U168" s="58">
        <f t="shared" si="87"/>
        <v>7.072821001618756</v>
      </c>
      <c r="V168" s="58">
        <f t="shared" si="87"/>
        <v>5.8614190712424525</v>
      </c>
      <c r="W168" s="58">
        <f t="shared" si="87"/>
        <v>5.2165283126722937</v>
      </c>
      <c r="X168" s="58">
        <f t="shared" si="87"/>
        <v>4.9337598072452789</v>
      </c>
      <c r="Y168" s="58">
        <f t="shared" si="87"/>
        <v>4.9258529176258987</v>
      </c>
      <c r="Z168" s="58">
        <f t="shared" si="87"/>
        <v>4.9163098487823449</v>
      </c>
      <c r="AA168" s="58">
        <f t="shared" si="87"/>
        <v>4.8711030648864835</v>
      </c>
      <c r="AB168" s="58">
        <f t="shared" si="87"/>
        <v>4.7483581830115602</v>
      </c>
      <c r="AC168" s="58">
        <f t="shared" si="87"/>
        <v>4.5924468611355449</v>
      </c>
      <c r="AD168" s="58">
        <f t="shared" si="87"/>
        <v>4.4643154453784666</v>
      </c>
      <c r="AE168" s="44">
        <f t="shared" si="87"/>
        <v>4.1808135387961478</v>
      </c>
      <c r="AF168" s="44">
        <f t="shared" si="87"/>
        <v>4.1058115084066475</v>
      </c>
      <c r="AG168" s="67">
        <f t="shared" si="87"/>
        <v>3.9627446167361517</v>
      </c>
      <c r="AH168" s="58">
        <f t="shared" si="87"/>
        <v>3.8292552412902099</v>
      </c>
      <c r="AI168" s="58">
        <f t="shared" si="87"/>
        <v>3.6328248784235457</v>
      </c>
      <c r="AJ168" s="59">
        <f t="shared" si="87"/>
        <v>3.4910399529887322</v>
      </c>
    </row>
    <row r="169" spans="1:76" x14ac:dyDescent="0.3">
      <c r="A169">
        <v>2016</v>
      </c>
      <c r="B169" s="3">
        <f t="shared" si="88"/>
        <v>430351</v>
      </c>
      <c r="C169">
        <f>'Charts  ST Demand &amp; Market Tigh'!C105</f>
        <v>390712.8</v>
      </c>
      <c r="D169">
        <f t="shared" si="89"/>
        <v>0.10145098906409</v>
      </c>
      <c r="E169">
        <f t="shared" si="90"/>
        <v>130.43529671922701</v>
      </c>
      <c r="F169">
        <v>100</v>
      </c>
      <c r="G169" s="12">
        <f t="shared" si="91"/>
        <v>10.145098906409007</v>
      </c>
      <c r="R169">
        <v>-8.2499999999996021E-2</v>
      </c>
      <c r="S169">
        <f t="shared" si="92"/>
        <v>115.65600000000001</v>
      </c>
      <c r="T169" s="57">
        <f t="shared" si="93"/>
        <v>11.150427918795192</v>
      </c>
      <c r="U169" s="58">
        <f t="shared" si="87"/>
        <v>7.2280611157673693</v>
      </c>
      <c r="V169" s="58">
        <f t="shared" si="87"/>
        <v>5.9803420459926713</v>
      </c>
      <c r="W169" s="58">
        <f t="shared" si="87"/>
        <v>5.316117830055104</v>
      </c>
      <c r="X169" s="58">
        <f t="shared" si="87"/>
        <v>5.0248720860076466</v>
      </c>
      <c r="Y169" s="58">
        <f t="shared" si="87"/>
        <v>5.0167281523442417</v>
      </c>
      <c r="Z169" s="58">
        <f t="shared" si="87"/>
        <v>5.0068989877361112</v>
      </c>
      <c r="AA169" s="58">
        <f t="shared" si="87"/>
        <v>4.9603369302259921</v>
      </c>
      <c r="AB169" s="58">
        <f t="shared" si="87"/>
        <v>4.8339122267545278</v>
      </c>
      <c r="AC169" s="58">
        <f t="shared" si="87"/>
        <v>4.6733267723149305</v>
      </c>
      <c r="AD169" s="58">
        <f t="shared" si="87"/>
        <v>4.5413540497457374</v>
      </c>
      <c r="AE169" s="44">
        <f t="shared" si="87"/>
        <v>4.2493529175943614</v>
      </c>
      <c r="AF169" s="44">
        <f t="shared" si="87"/>
        <v>4.1721023690834045</v>
      </c>
      <c r="AG169" s="67">
        <f t="shared" si="87"/>
        <v>4.0247464135458255</v>
      </c>
      <c r="AH169" s="58">
        <f t="shared" si="87"/>
        <v>3.8872551027102258</v>
      </c>
      <c r="AI169" s="58">
        <f t="shared" si="87"/>
        <v>3.6849358695261025</v>
      </c>
      <c r="AJ169" s="59">
        <f t="shared" si="87"/>
        <v>3.5389003128412559</v>
      </c>
    </row>
    <row r="170" spans="1:76" x14ac:dyDescent="0.3">
      <c r="A170">
        <v>2017</v>
      </c>
      <c r="B170" s="3">
        <f t="shared" si="88"/>
        <v>430264</v>
      </c>
      <c r="C170">
        <f>'Charts  ST Demand &amp; Market Tigh'!C106</f>
        <v>396325.4</v>
      </c>
      <c r="D170">
        <f t="shared" si="89"/>
        <v>8.5633169108010776E-2</v>
      </c>
      <c r="E170">
        <f t="shared" si="90"/>
        <v>125.68995073240323</v>
      </c>
      <c r="F170">
        <v>100</v>
      </c>
      <c r="G170" s="12">
        <f t="shared" si="91"/>
        <v>8.5633169108010687</v>
      </c>
      <c r="R170">
        <v>1.7801719972506334</v>
      </c>
      <c r="S170">
        <f t="shared" si="92"/>
        <v>117.51867199725064</v>
      </c>
      <c r="T170" s="57">
        <f t="shared" si="93"/>
        <v>12.06249835256304</v>
      </c>
      <c r="U170" s="58">
        <f t="shared" si="87"/>
        <v>7.7536210371509444</v>
      </c>
      <c r="V170" s="58">
        <f t="shared" si="87"/>
        <v>6.3829515751288994</v>
      </c>
      <c r="W170" s="58">
        <f t="shared" si="87"/>
        <v>5.6532746223789818</v>
      </c>
      <c r="X170" s="58">
        <f t="shared" si="87"/>
        <v>5.3333294865065124</v>
      </c>
      <c r="Y170" s="58">
        <f t="shared" si="87"/>
        <v>5.3243830486074906</v>
      </c>
      <c r="Z170" s="58">
        <f t="shared" si="87"/>
        <v>5.313585316896952</v>
      </c>
      <c r="AA170" s="58">
        <f t="shared" si="87"/>
        <v>5.2624350284513657</v>
      </c>
      <c r="AB170" s="58">
        <f t="shared" si="87"/>
        <v>5.1235524189831807</v>
      </c>
      <c r="AC170" s="58">
        <f t="shared" si="87"/>
        <v>4.9471428538997237</v>
      </c>
      <c r="AD170" s="58">
        <f t="shared" si="87"/>
        <v>4.8021655228422073</v>
      </c>
      <c r="AE170" s="44">
        <f t="shared" si="87"/>
        <v>4.4813905628281514</v>
      </c>
      <c r="AF170" s="44">
        <f t="shared" si="87"/>
        <v>4.3965277356634278</v>
      </c>
      <c r="AG170" s="67">
        <f t="shared" si="87"/>
        <v>4.2346513059484359</v>
      </c>
      <c r="AH170" s="58">
        <f t="shared" si="87"/>
        <v>4.0836115842506917</v>
      </c>
      <c r="AI170" s="58">
        <f t="shared" si="87"/>
        <v>3.8613557886770371</v>
      </c>
      <c r="AJ170" s="59">
        <f t="shared" si="87"/>
        <v>3.7009298700818758</v>
      </c>
    </row>
    <row r="171" spans="1:76" x14ac:dyDescent="0.3">
      <c r="A171">
        <v>2018</v>
      </c>
      <c r="B171" s="3">
        <f t="shared" si="88"/>
        <v>418864</v>
      </c>
      <c r="C171">
        <f>'Charts  ST Demand &amp; Market Tigh'!C107</f>
        <v>401938</v>
      </c>
      <c r="D171">
        <f t="shared" si="89"/>
        <v>4.2110972339017394E-2</v>
      </c>
      <c r="E171">
        <f t="shared" si="90"/>
        <v>112.63329170170522</v>
      </c>
      <c r="F171">
        <v>100</v>
      </c>
      <c r="G171" s="12">
        <f t="shared" si="91"/>
        <v>4.2110972339017465</v>
      </c>
      <c r="R171">
        <v>1.9660931748619106</v>
      </c>
      <c r="S171">
        <f t="shared" si="92"/>
        <v>117.70459317486191</v>
      </c>
      <c r="T171" s="57">
        <f t="shared" si="93"/>
        <v>12.157489194000446</v>
      </c>
      <c r="U171" s="58">
        <f t="shared" si="87"/>
        <v>7.8083573571868463</v>
      </c>
      <c r="V171" s="58">
        <f t="shared" si="87"/>
        <v>6.4248827862804081</v>
      </c>
      <c r="W171" s="58">
        <f t="shared" si="87"/>
        <v>5.6883890238697496</v>
      </c>
      <c r="X171" s="58">
        <f t="shared" si="87"/>
        <v>5.365454887063505</v>
      </c>
      <c r="Y171" s="58">
        <f t="shared" si="87"/>
        <v>5.3564248694871068</v>
      </c>
      <c r="Z171" s="58">
        <f t="shared" si="87"/>
        <v>5.3455262628872617</v>
      </c>
      <c r="AA171" s="58">
        <f t="shared" si="87"/>
        <v>5.2938981167005057</v>
      </c>
      <c r="AB171" s="58">
        <f t="shared" si="87"/>
        <v>5.1537180340006863</v>
      </c>
      <c r="AC171" s="58">
        <f t="shared" si="87"/>
        <v>4.9756604102482846</v>
      </c>
      <c r="AD171" s="58">
        <f t="shared" si="87"/>
        <v>4.829328667670417</v>
      </c>
      <c r="AE171" s="44">
        <f t="shared" si="87"/>
        <v>4.5055569543148879</v>
      </c>
      <c r="AF171" s="44">
        <f t="shared" si="87"/>
        <v>4.4199013191302932</v>
      </c>
      <c r="AG171" s="67">
        <f t="shared" si="87"/>
        <v>4.2565126026344622</v>
      </c>
      <c r="AH171" s="58">
        <f t="shared" si="87"/>
        <v>4.1040618331707917</v>
      </c>
      <c r="AI171" s="58">
        <f t="shared" si="87"/>
        <v>3.8797296729145043</v>
      </c>
      <c r="AJ171" s="59">
        <f t="shared" si="87"/>
        <v>3.7178050185464886</v>
      </c>
    </row>
    <row r="172" spans="1:76" x14ac:dyDescent="0.3">
      <c r="A172">
        <v>2019</v>
      </c>
      <c r="B172" s="3">
        <f t="shared" si="88"/>
        <v>402538</v>
      </c>
      <c r="C172">
        <f>'Charts  ST Demand &amp; Market Tigh'!C108</f>
        <v>407550.6</v>
      </c>
      <c r="D172">
        <f t="shared" si="89"/>
        <v>-1.229933166581032E-2</v>
      </c>
      <c r="E172">
        <f t="shared" si="90"/>
        <v>96.310200500256897</v>
      </c>
      <c r="F172">
        <v>100</v>
      </c>
      <c r="G172" s="12">
        <f t="shared" si="91"/>
        <v>-1.2299331665810276</v>
      </c>
      <c r="H172" s="3"/>
      <c r="I172" s="3"/>
      <c r="R172">
        <v>1.9927872599302248</v>
      </c>
      <c r="S172" s="73">
        <f t="shared" si="92"/>
        <v>117.73128725993023</v>
      </c>
      <c r="T172" s="78">
        <f t="shared" si="93"/>
        <v>12.171188002394887</v>
      </c>
      <c r="U172" s="79">
        <f t="shared" si="87"/>
        <v>7.8162509851307842</v>
      </c>
      <c r="V172" s="79">
        <f t="shared" si="87"/>
        <v>6.4309297653219559</v>
      </c>
      <c r="W172" s="79">
        <f t="shared" si="87"/>
        <v>5.6934529379337633</v>
      </c>
      <c r="X172" s="79">
        <f t="shared" si="87"/>
        <v>5.3700877516656664</v>
      </c>
      <c r="Y172" s="80">
        <f t="shared" si="87"/>
        <v>5.3610456809063614</v>
      </c>
      <c r="Z172" s="79">
        <f t="shared" si="87"/>
        <v>5.3501325269484834</v>
      </c>
      <c r="AA172" s="79">
        <f t="shared" si="87"/>
        <v>5.2984354679956418</v>
      </c>
      <c r="AB172" s="79">
        <f t="shared" si="87"/>
        <v>5.1580682742340827</v>
      </c>
      <c r="AC172" s="79">
        <f t="shared" si="87"/>
        <v>4.9797729808328288</v>
      </c>
      <c r="AD172" s="79">
        <f t="shared" si="87"/>
        <v>4.8332459160152155</v>
      </c>
      <c r="AE172" s="84">
        <f t="shared" si="87"/>
        <v>4.509042035208501</v>
      </c>
      <c r="AF172" s="44">
        <f t="shared" si="87"/>
        <v>4.4232720676841417</v>
      </c>
      <c r="AG172" s="67">
        <f t="shared" si="87"/>
        <v>4.2596652614595047</v>
      </c>
      <c r="AH172" s="67">
        <f t="shared" si="87"/>
        <v>4.1070110021363035</v>
      </c>
      <c r="AI172" s="67">
        <f t="shared" si="87"/>
        <v>3.8823794054131522</v>
      </c>
      <c r="AJ172" s="68">
        <f t="shared" si="87"/>
        <v>3.720238615532748</v>
      </c>
    </row>
    <row r="173" spans="1:76" s="3" customFormat="1" x14ac:dyDescent="0.3">
      <c r="A173">
        <v>2020</v>
      </c>
      <c r="B173" s="3">
        <f t="shared" si="88"/>
        <v>409348</v>
      </c>
      <c r="C173">
        <f>'Charts  ST Demand &amp; Market Tigh'!C109</f>
        <v>413163.2</v>
      </c>
      <c r="D173">
        <f t="shared" si="89"/>
        <v>-9.2341234650133996E-3</v>
      </c>
      <c r="E173">
        <f t="shared" si="90"/>
        <v>97.229762960495975</v>
      </c>
      <c r="F173">
        <v>100</v>
      </c>
      <c r="G173" s="12">
        <f t="shared" si="91"/>
        <v>-0.92341234650133686</v>
      </c>
      <c r="H173"/>
      <c r="I173"/>
      <c r="J173"/>
      <c r="K173"/>
      <c r="L173"/>
      <c r="M173"/>
      <c r="N173"/>
      <c r="O173"/>
      <c r="P173"/>
      <c r="Q173"/>
      <c r="R173">
        <v>2.4810895689321484</v>
      </c>
      <c r="S173">
        <f t="shared" si="92"/>
        <v>118.21958956893215</v>
      </c>
      <c r="T173" s="57">
        <f t="shared" si="93"/>
        <v>12.424464839730112</v>
      </c>
      <c r="U173" s="58">
        <f t="shared" si="87"/>
        <v>7.9621960237921972</v>
      </c>
      <c r="V173" s="58">
        <f t="shared" si="87"/>
        <v>6.542732170536862</v>
      </c>
      <c r="W173" s="58">
        <f t="shared" si="87"/>
        <v>5.7870794857137531</v>
      </c>
      <c r="X173" s="58">
        <f t="shared" si="87"/>
        <v>5.4557446395095726</v>
      </c>
      <c r="Y173" s="58">
        <f t="shared" si="87"/>
        <v>5.4464797178308473</v>
      </c>
      <c r="Z173" s="58">
        <f t="shared" si="87"/>
        <v>5.4352975982280309</v>
      </c>
      <c r="AA173" s="58">
        <f t="shared" si="87"/>
        <v>5.3823264133115849</v>
      </c>
      <c r="AB173" s="58">
        <f t="shared" si="87"/>
        <v>5.2384997290174411</v>
      </c>
      <c r="AC173" s="58">
        <f t="shared" si="87"/>
        <v>5.0558101689574588</v>
      </c>
      <c r="AD173" s="58">
        <f t="shared" si="87"/>
        <v>4.9056717973955895</v>
      </c>
      <c r="AE173" s="44">
        <f t="shared" si="87"/>
        <v>4.5734775861831585</v>
      </c>
      <c r="AF173" s="44">
        <f t="shared" si="87"/>
        <v>4.4855937316266594</v>
      </c>
      <c r="AG173" s="67">
        <f t="shared" si="87"/>
        <v>4.3179546712688959</v>
      </c>
      <c r="AH173" s="58">
        <f t="shared" si="87"/>
        <v>4.1615380943361808</v>
      </c>
      <c r="AI173" s="58">
        <f t="shared" si="87"/>
        <v>3.9313702261997596</v>
      </c>
      <c r="AJ173" s="59">
        <f t="shared" si="87"/>
        <v>3.7652333136321019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</row>
    <row r="174" spans="1:76" x14ac:dyDescent="0.3">
      <c r="A174">
        <v>2021</v>
      </c>
      <c r="B174" s="3">
        <f t="shared" si="88"/>
        <v>413442</v>
      </c>
      <c r="C174">
        <f>'Charts  ST Demand &amp; Market Tigh'!C110</f>
        <v>418775.8</v>
      </c>
      <c r="D174">
        <f t="shared" si="89"/>
        <v>-1.2736648106218107E-2</v>
      </c>
      <c r="E174">
        <f t="shared" si="90"/>
        <v>96.179005568134571</v>
      </c>
      <c r="F174">
        <v>100</v>
      </c>
      <c r="G174" s="12">
        <f t="shared" si="91"/>
        <v>-1.2736648106218145</v>
      </c>
      <c r="R174">
        <v>2.7731287864709486</v>
      </c>
      <c r="S174">
        <f t="shared" si="92"/>
        <v>118.51162878647095</v>
      </c>
      <c r="T174" s="57">
        <f t="shared" si="93"/>
        <v>12.578402568422261</v>
      </c>
      <c r="U174" s="58">
        <f t="shared" si="87"/>
        <v>8.0508991519653126</v>
      </c>
      <c r="V174" s="58">
        <f t="shared" si="87"/>
        <v>6.6106839362892273</v>
      </c>
      <c r="W174" s="58">
        <f t="shared" si="87"/>
        <v>5.8439842475631867</v>
      </c>
      <c r="X174" s="58">
        <f t="shared" si="87"/>
        <v>5.5078055658076917</v>
      </c>
      <c r="Y174" s="58">
        <f t="shared" si="87"/>
        <v>5.4984051988007074</v>
      </c>
      <c r="Z174" s="58">
        <f t="shared" si="87"/>
        <v>5.487059606055567</v>
      </c>
      <c r="AA174" s="58">
        <f t="shared" si="87"/>
        <v>5.4333140271638625</v>
      </c>
      <c r="AB174" s="58">
        <f t="shared" si="87"/>
        <v>5.2873847182451357</v>
      </c>
      <c r="AC174" s="58">
        <f t="shared" si="87"/>
        <v>5.1020243911468803</v>
      </c>
      <c r="AD174" s="58">
        <f t="shared" si="87"/>
        <v>4.9496911234244667</v>
      </c>
      <c r="AE174" s="44">
        <f t="shared" si="87"/>
        <v>4.6126405134702608</v>
      </c>
      <c r="AF174" s="44">
        <f t="shared" si="87"/>
        <v>4.5234718712013766</v>
      </c>
      <c r="AG174" s="85">
        <f>IF(BR136&gt;105,"NA",IF(BR136&lt;93,"NA",AG136))</f>
        <v>4.353382069396849</v>
      </c>
      <c r="AH174" s="58">
        <f t="shared" si="87"/>
        <v>4.1946788142446785</v>
      </c>
      <c r="AI174" s="58">
        <f t="shared" si="87"/>
        <v>3.9611460863139363</v>
      </c>
      <c r="AJ174" s="59">
        <f t="shared" si="87"/>
        <v>3.7925803924312422</v>
      </c>
    </row>
    <row r="175" spans="1:76" x14ac:dyDescent="0.3">
      <c r="A175">
        <v>2022</v>
      </c>
      <c r="B175" s="3">
        <f t="shared" si="88"/>
        <v>382696</v>
      </c>
      <c r="C175">
        <f>'Charts  ST Demand &amp; Market Tigh'!C111</f>
        <v>424388.4</v>
      </c>
      <c r="D175">
        <f t="shared" si="89"/>
        <v>-9.8241139484491091E-2</v>
      </c>
      <c r="E175">
        <f t="shared" si="90"/>
        <v>70.52765815465267</v>
      </c>
      <c r="F175">
        <v>100</v>
      </c>
      <c r="G175" s="12">
        <f t="shared" si="91"/>
        <v>-9.8241139484491153</v>
      </c>
      <c r="R175">
        <v>4.1205194810683992</v>
      </c>
      <c r="S175">
        <f t="shared" si="92"/>
        <v>119.8590194810684</v>
      </c>
      <c r="T175" s="57">
        <f t="shared" si="93"/>
        <v>13.313039561293635</v>
      </c>
      <c r="U175" s="58">
        <f t="shared" si="87"/>
        <v>8.474217073393751</v>
      </c>
      <c r="V175" s="58">
        <f t="shared" si="87"/>
        <v>6.934970134849717</v>
      </c>
      <c r="W175" s="58">
        <f t="shared" si="87"/>
        <v>6.1155508315338434</v>
      </c>
      <c r="X175" s="58">
        <f t="shared" si="87"/>
        <v>5.7562559143134351</v>
      </c>
      <c r="Y175" s="58">
        <f t="shared" si="87"/>
        <v>5.7462091615925921</v>
      </c>
      <c r="Z175" s="58">
        <f t="shared" si="87"/>
        <v>5.7340834260019378</v>
      </c>
      <c r="AA175" s="58">
        <f t="shared" si="87"/>
        <v>5.6766422068918487</v>
      </c>
      <c r="AB175" s="58">
        <f t="shared" si="87"/>
        <v>5.5206785428837915</v>
      </c>
      <c r="AC175" s="58">
        <f t="shared" si="87"/>
        <v>5.3225725147652287</v>
      </c>
      <c r="AD175" s="58">
        <f t="shared" si="87"/>
        <v>5.1597645445202645</v>
      </c>
      <c r="AE175" s="44">
        <f t="shared" si="87"/>
        <v>4.7995377437897488</v>
      </c>
      <c r="AF175" s="44">
        <f t="shared" si="87"/>
        <v>4.704237709369492</v>
      </c>
      <c r="AG175" s="67">
        <f t="shared" si="87"/>
        <v>4.5224522346324543</v>
      </c>
      <c r="AH175" s="58">
        <f t="shared" si="87"/>
        <v>4.3528362654557391</v>
      </c>
      <c r="AI175" s="58">
        <f t="shared" si="87"/>
        <v>4.1032454177792088</v>
      </c>
      <c r="AJ175" s="59">
        <f t="shared" si="87"/>
        <v>3.9230888512964102</v>
      </c>
    </row>
    <row r="176" spans="1:76" x14ac:dyDescent="0.3">
      <c r="A176">
        <v>2023</v>
      </c>
      <c r="B176" s="3">
        <f t="shared" si="88"/>
        <v>424940</v>
      </c>
      <c r="C176">
        <f>'Charts  ST Demand &amp; Market Tigh'!C112</f>
        <v>430001</v>
      </c>
      <c r="D176">
        <f t="shared" si="89"/>
        <v>-1.1769740070371904E-2</v>
      </c>
      <c r="E176">
        <f t="shared" si="90"/>
        <v>96.469077978888436</v>
      </c>
      <c r="F176">
        <v>100</v>
      </c>
      <c r="G176" s="12">
        <f t="shared" si="91"/>
        <v>-1.176974007037193</v>
      </c>
      <c r="R176">
        <v>5.3768374024553651</v>
      </c>
      <c r="S176">
        <f t="shared" si="92"/>
        <v>121.11533740245537</v>
      </c>
      <c r="T176" s="57">
        <f t="shared" si="93"/>
        <v>14.035322667645165</v>
      </c>
      <c r="U176" s="58">
        <f t="shared" si="87"/>
        <v>8.8904163476346909</v>
      </c>
      <c r="V176" s="58">
        <f t="shared" si="87"/>
        <v>7.2538030347935631</v>
      </c>
      <c r="W176" s="58">
        <f t="shared" si="87"/>
        <v>6.3825506664930778</v>
      </c>
      <c r="X176" s="58">
        <f t="shared" si="87"/>
        <v>6.0005282436872296</v>
      </c>
      <c r="Y176" s="58">
        <f t="shared" si="87"/>
        <v>5.989845975077813</v>
      </c>
      <c r="Z176" s="58">
        <f t="shared" si="87"/>
        <v>5.9769532157688818</v>
      </c>
      <c r="AA176" s="58">
        <f t="shared" si="87"/>
        <v>5.9158785034876189</v>
      </c>
      <c r="AB176" s="58">
        <f t="shared" si="87"/>
        <v>5.7500492252585431</v>
      </c>
      <c r="AC176" s="58">
        <f t="shared" si="87"/>
        <v>5.5394118318331582</v>
      </c>
      <c r="AD176" s="58">
        <f t="shared" si="87"/>
        <v>5.3663053049547678</v>
      </c>
      <c r="AE176" s="44">
        <f t="shared" si="87"/>
        <v>4.9832920515547734</v>
      </c>
      <c r="AF176" s="44">
        <f t="shared" si="87"/>
        <v>4.8819637324002541</v>
      </c>
      <c r="AG176" s="67">
        <f t="shared" si="87"/>
        <v>4.6886792628419141</v>
      </c>
      <c r="AH176" s="58">
        <f t="shared" si="87"/>
        <v>4.5083340912688339</v>
      </c>
      <c r="AI176" s="58">
        <f t="shared" si="87"/>
        <v>4.2429551622341632</v>
      </c>
      <c r="AJ176" s="59">
        <f t="shared" ref="AJ176:AJ185" si="94">IF(BU138&gt;105,"NA",IF(BU138&lt;93,"NA",AJ138))</f>
        <v>4.0514026389071445</v>
      </c>
    </row>
    <row r="177" spans="1:76" x14ac:dyDescent="0.3">
      <c r="A177">
        <v>2024</v>
      </c>
      <c r="B177" s="3">
        <f t="shared" si="88"/>
        <v>423610</v>
      </c>
      <c r="C177">
        <f>'Charts  ST Demand &amp; Market Tigh'!C113</f>
        <v>435613.6</v>
      </c>
      <c r="D177">
        <f t="shared" si="89"/>
        <v>-2.7555613507016297E-2</v>
      </c>
      <c r="E177">
        <f t="shared" si="90"/>
        <v>91.733315947895107</v>
      </c>
      <c r="F177">
        <v>100</v>
      </c>
      <c r="G177" s="12">
        <f t="shared" si="91"/>
        <v>-2.7555613507016257</v>
      </c>
      <c r="R177">
        <v>8.1570751105476518</v>
      </c>
      <c r="S177">
        <f t="shared" si="92"/>
        <v>123.89557511054765</v>
      </c>
      <c r="T177" s="57" t="str">
        <f t="shared" si="93"/>
        <v>NA</v>
      </c>
      <c r="U177" s="58">
        <f t="shared" ref="U177:U186" si="95">IF(BF139&gt;105,"NA",IF(BF139&lt;93,"NA",U139))</f>
        <v>9.8896044420517164</v>
      </c>
      <c r="V177" s="58">
        <f t="shared" ref="V177:V186" si="96">IF(BG139&gt;105,"NA",IF(BG139&lt;93,"NA",V139))</f>
        <v>8.019239347274782</v>
      </c>
      <c r="W177" s="58">
        <f t="shared" ref="W177:W186" si="97">IF(BH139&gt;105,"NA",IF(BH139&lt;93,"NA",W139))</f>
        <v>7.0235490362983395</v>
      </c>
      <c r="X177" s="58">
        <f t="shared" ref="X177:X186" si="98">IF(BI139&gt;105,"NA",IF(BI139&lt;93,"NA",X139))</f>
        <v>6.5869636807767105</v>
      </c>
      <c r="Y177" s="58">
        <f t="shared" ref="Y177:Y186" si="99">IF(BJ139&gt;105,"NA",IF(BJ139&lt;93,"NA",Y139))</f>
        <v>6.5747557009299591</v>
      </c>
      <c r="Z177" s="58">
        <f t="shared" ref="Z177:Z186" si="100">IF(BK139&gt;105,"NA",IF(BK139&lt;93,"NA",Z139))</f>
        <v>6.5600215136924618</v>
      </c>
      <c r="AA177" s="58">
        <f t="shared" ref="AA177:AA186" si="101">IF(BL139&gt;105,"NA",IF(BL139&lt;93,"NA",AA139))</f>
        <v>6.490223712875288</v>
      </c>
      <c r="AB177" s="58">
        <f t="shared" ref="AB177:AB186" si="102">IF(BM139&gt;105,"NA",IF(BM139&lt;93,"NA",AB139))</f>
        <v>6.30070961613775</v>
      </c>
      <c r="AC177" s="58">
        <f t="shared" ref="AC177:AC186" si="103">IF(BN139&gt;105,"NA",IF(BN139&lt;93,"NA",AC139))</f>
        <v>6.0599876171007789</v>
      </c>
      <c r="AD177" s="58">
        <f t="shared" ref="AD177:AD186" si="104">IF(BO139&gt;105,"NA",IF(BO139&lt;93,"NA",AD139))</f>
        <v>5.8621568876236125</v>
      </c>
      <c r="AE177" s="44">
        <f t="shared" ref="AE177:AE186" si="105">IF(BP139&gt;105,"NA",IF(BP139&lt;93,"NA",AE139))</f>
        <v>5.4244391846234485</v>
      </c>
      <c r="AF177" s="44">
        <f t="shared" ref="AF177:AF186" si="106">IF(BQ139&gt;105,"NA",IF(BQ139&lt;93,"NA",AF139))</f>
        <v>5.3086384943980782</v>
      </c>
      <c r="AG177" s="67">
        <f t="shared" ref="AG177:AG186" si="107">IF(BR139&gt;105,"NA",IF(BR139&lt;93,"NA",AG139))</f>
        <v>5.087747876933399</v>
      </c>
      <c r="AH177" s="58">
        <f t="shared" ref="AH177:AH186" si="108">IF(BS139&gt;105,"NA",IF(BS139&lt;93,"NA",AH139))</f>
        <v>4.8816446323396692</v>
      </c>
      <c r="AI177" s="58">
        <f t="shared" ref="AI177:AI186" si="109">IF(BT139&gt;105,"NA",IF(BT139&lt;93,"NA",AI139))</f>
        <v>4.5783625547338929</v>
      </c>
      <c r="AJ177" s="59">
        <f t="shared" si="94"/>
        <v>4.3594512513513344</v>
      </c>
    </row>
    <row r="178" spans="1:76" x14ac:dyDescent="0.3">
      <c r="A178">
        <v>2025</v>
      </c>
      <c r="B178" s="3">
        <f t="shared" si="88"/>
        <v>465065</v>
      </c>
      <c r="C178">
        <f>'Charts  ST Demand &amp; Market Tigh'!C114</f>
        <v>441226.2</v>
      </c>
      <c r="D178">
        <f t="shared" si="89"/>
        <v>5.4028523238193848E-2</v>
      </c>
      <c r="E178">
        <f t="shared" si="90"/>
        <v>116.20855697145815</v>
      </c>
      <c r="F178">
        <v>100</v>
      </c>
      <c r="G178" s="12">
        <f t="shared" si="91"/>
        <v>5.4028523238193893</v>
      </c>
      <c r="T178" s="57" t="e">
        <f t="shared" si="93"/>
        <v>#DIV/0!</v>
      </c>
      <c r="U178" s="58" t="e">
        <f t="shared" si="95"/>
        <v>#DIV/0!</v>
      </c>
      <c r="V178" s="58" t="e">
        <f t="shared" si="96"/>
        <v>#DIV/0!</v>
      </c>
      <c r="W178" s="58" t="e">
        <f t="shared" si="97"/>
        <v>#DIV/0!</v>
      </c>
      <c r="X178" s="58" t="e">
        <f t="shared" si="98"/>
        <v>#DIV/0!</v>
      </c>
      <c r="Y178" s="58" t="e">
        <f t="shared" si="99"/>
        <v>#DIV/0!</v>
      </c>
      <c r="Z178" s="58" t="e">
        <f t="shared" si="100"/>
        <v>#DIV/0!</v>
      </c>
      <c r="AA178" s="58" t="e">
        <f t="shared" si="101"/>
        <v>#DIV/0!</v>
      </c>
      <c r="AB178" s="58" t="e">
        <f t="shared" si="102"/>
        <v>#DIV/0!</v>
      </c>
      <c r="AC178" s="58" t="e">
        <f t="shared" si="103"/>
        <v>#DIV/0!</v>
      </c>
      <c r="AD178" s="58" t="e">
        <f t="shared" si="104"/>
        <v>#DIV/0!</v>
      </c>
      <c r="AE178" s="44" t="e">
        <f t="shared" si="105"/>
        <v>#DIV/0!</v>
      </c>
      <c r="AF178" s="44" t="e">
        <f t="shared" si="106"/>
        <v>#DIV/0!</v>
      </c>
      <c r="AG178" s="67" t="e">
        <f t="shared" si="107"/>
        <v>#DIV/0!</v>
      </c>
      <c r="AH178" s="58" t="e">
        <f t="shared" si="108"/>
        <v>#DIV/0!</v>
      </c>
      <c r="AI178" s="58" t="e">
        <f t="shared" si="109"/>
        <v>#DIV/0!</v>
      </c>
      <c r="AJ178" s="59" t="e">
        <f t="shared" si="94"/>
        <v>#DIV/0!</v>
      </c>
    </row>
    <row r="179" spans="1:76" x14ac:dyDescent="0.3">
      <c r="B179" s="3"/>
      <c r="G179" s="12"/>
      <c r="T179" s="57" t="e">
        <f t="shared" si="93"/>
        <v>#DIV/0!</v>
      </c>
      <c r="U179" s="58" t="e">
        <f t="shared" si="95"/>
        <v>#DIV/0!</v>
      </c>
      <c r="V179" s="58" t="e">
        <f t="shared" si="96"/>
        <v>#DIV/0!</v>
      </c>
      <c r="W179" s="58" t="e">
        <f t="shared" si="97"/>
        <v>#DIV/0!</v>
      </c>
      <c r="X179" s="58" t="e">
        <f t="shared" si="98"/>
        <v>#DIV/0!</v>
      </c>
      <c r="Y179" s="58" t="e">
        <f t="shared" si="99"/>
        <v>#DIV/0!</v>
      </c>
      <c r="Z179" s="58" t="e">
        <f t="shared" si="100"/>
        <v>#DIV/0!</v>
      </c>
      <c r="AA179" s="58" t="e">
        <f t="shared" si="101"/>
        <v>#DIV/0!</v>
      </c>
      <c r="AB179" s="58" t="e">
        <f t="shared" si="102"/>
        <v>#DIV/0!</v>
      </c>
      <c r="AC179" s="58" t="e">
        <f t="shared" si="103"/>
        <v>#DIV/0!</v>
      </c>
      <c r="AD179" s="58" t="e">
        <f t="shared" si="104"/>
        <v>#DIV/0!</v>
      </c>
      <c r="AE179" s="44" t="e">
        <f t="shared" si="105"/>
        <v>#DIV/0!</v>
      </c>
      <c r="AF179" s="44" t="e">
        <f t="shared" si="106"/>
        <v>#DIV/0!</v>
      </c>
      <c r="AG179" s="67" t="e">
        <f t="shared" si="107"/>
        <v>#DIV/0!</v>
      </c>
      <c r="AH179" s="58" t="e">
        <f t="shared" si="108"/>
        <v>#DIV/0!</v>
      </c>
      <c r="AI179" s="58" t="e">
        <f t="shared" si="109"/>
        <v>#DIV/0!</v>
      </c>
      <c r="AJ179" s="59" t="e">
        <f t="shared" si="94"/>
        <v>#DIV/0!</v>
      </c>
    </row>
    <row r="180" spans="1:76" x14ac:dyDescent="0.3">
      <c r="B180" s="3"/>
      <c r="G180" s="12"/>
      <c r="T180" s="57" t="e">
        <f t="shared" si="93"/>
        <v>#DIV/0!</v>
      </c>
      <c r="U180" s="58" t="e">
        <f t="shared" si="95"/>
        <v>#DIV/0!</v>
      </c>
      <c r="V180" s="58" t="e">
        <f t="shared" si="96"/>
        <v>#DIV/0!</v>
      </c>
      <c r="W180" s="58" t="e">
        <f t="shared" si="97"/>
        <v>#DIV/0!</v>
      </c>
      <c r="X180" s="58" t="e">
        <f t="shared" si="98"/>
        <v>#DIV/0!</v>
      </c>
      <c r="Y180" s="58" t="e">
        <f t="shared" si="99"/>
        <v>#DIV/0!</v>
      </c>
      <c r="Z180" s="58" t="e">
        <f t="shared" si="100"/>
        <v>#DIV/0!</v>
      </c>
      <c r="AA180" s="58" t="e">
        <f t="shared" si="101"/>
        <v>#DIV/0!</v>
      </c>
      <c r="AB180" s="58" t="e">
        <f t="shared" si="102"/>
        <v>#DIV/0!</v>
      </c>
      <c r="AC180" s="58" t="e">
        <f t="shared" si="103"/>
        <v>#DIV/0!</v>
      </c>
      <c r="AD180" s="58" t="e">
        <f t="shared" si="104"/>
        <v>#DIV/0!</v>
      </c>
      <c r="AE180" s="44" t="e">
        <f t="shared" si="105"/>
        <v>#DIV/0!</v>
      </c>
      <c r="AF180" s="44" t="e">
        <f t="shared" si="106"/>
        <v>#DIV/0!</v>
      </c>
      <c r="AG180" s="67" t="e">
        <f t="shared" si="107"/>
        <v>#DIV/0!</v>
      </c>
      <c r="AH180" s="58" t="e">
        <f t="shared" si="108"/>
        <v>#DIV/0!</v>
      </c>
      <c r="AI180" s="58" t="e">
        <f t="shared" si="109"/>
        <v>#DIV/0!</v>
      </c>
      <c r="AJ180" s="59" t="e">
        <f t="shared" si="94"/>
        <v>#DIV/0!</v>
      </c>
    </row>
    <row r="181" spans="1:76" x14ac:dyDescent="0.3">
      <c r="B181" s="3"/>
      <c r="G181" s="12"/>
      <c r="T181" s="57" t="e">
        <f t="shared" si="93"/>
        <v>#DIV/0!</v>
      </c>
      <c r="U181" s="58" t="e">
        <f t="shared" si="95"/>
        <v>#DIV/0!</v>
      </c>
      <c r="V181" s="58" t="e">
        <f t="shared" si="96"/>
        <v>#DIV/0!</v>
      </c>
      <c r="W181" s="58" t="e">
        <f t="shared" si="97"/>
        <v>#DIV/0!</v>
      </c>
      <c r="X181" s="58" t="e">
        <f t="shared" si="98"/>
        <v>#DIV/0!</v>
      </c>
      <c r="Y181" s="58" t="e">
        <f t="shared" si="99"/>
        <v>#DIV/0!</v>
      </c>
      <c r="Z181" s="58" t="e">
        <f t="shared" si="100"/>
        <v>#DIV/0!</v>
      </c>
      <c r="AA181" s="58" t="e">
        <f t="shared" si="101"/>
        <v>#DIV/0!</v>
      </c>
      <c r="AB181" s="58" t="e">
        <f t="shared" si="102"/>
        <v>#DIV/0!</v>
      </c>
      <c r="AC181" s="58" t="e">
        <f t="shared" si="103"/>
        <v>#DIV/0!</v>
      </c>
      <c r="AD181" s="58" t="e">
        <f t="shared" si="104"/>
        <v>#DIV/0!</v>
      </c>
      <c r="AE181" s="44" t="e">
        <f t="shared" si="105"/>
        <v>#DIV/0!</v>
      </c>
      <c r="AF181" s="44" t="e">
        <f t="shared" si="106"/>
        <v>#DIV/0!</v>
      </c>
      <c r="AG181" s="67" t="e">
        <f t="shared" si="107"/>
        <v>#DIV/0!</v>
      </c>
      <c r="AH181" s="58" t="e">
        <f t="shared" si="108"/>
        <v>#DIV/0!</v>
      </c>
      <c r="AI181" s="58" t="e">
        <f t="shared" si="109"/>
        <v>#DIV/0!</v>
      </c>
      <c r="AJ181" s="59" t="e">
        <f t="shared" si="94"/>
        <v>#DIV/0!</v>
      </c>
    </row>
    <row r="182" spans="1:76" x14ac:dyDescent="0.3">
      <c r="B182" s="3"/>
      <c r="G182" s="12"/>
      <c r="T182" s="57" t="e">
        <f t="shared" si="93"/>
        <v>#DIV/0!</v>
      </c>
      <c r="U182" s="58" t="e">
        <f t="shared" si="95"/>
        <v>#DIV/0!</v>
      </c>
      <c r="V182" s="58" t="e">
        <f t="shared" si="96"/>
        <v>#DIV/0!</v>
      </c>
      <c r="W182" s="58" t="e">
        <f t="shared" si="97"/>
        <v>#DIV/0!</v>
      </c>
      <c r="X182" s="58" t="e">
        <f t="shared" si="98"/>
        <v>#DIV/0!</v>
      </c>
      <c r="Y182" s="58" t="e">
        <f t="shared" si="99"/>
        <v>#DIV/0!</v>
      </c>
      <c r="Z182" s="58" t="e">
        <f t="shared" si="100"/>
        <v>#DIV/0!</v>
      </c>
      <c r="AA182" s="58" t="e">
        <f t="shared" si="101"/>
        <v>#DIV/0!</v>
      </c>
      <c r="AB182" s="58" t="e">
        <f t="shared" si="102"/>
        <v>#DIV/0!</v>
      </c>
      <c r="AC182" s="58" t="e">
        <f t="shared" si="103"/>
        <v>#DIV/0!</v>
      </c>
      <c r="AD182" s="58" t="e">
        <f t="shared" si="104"/>
        <v>#DIV/0!</v>
      </c>
      <c r="AE182" s="44" t="e">
        <f t="shared" si="105"/>
        <v>#DIV/0!</v>
      </c>
      <c r="AF182" s="44" t="e">
        <f t="shared" si="106"/>
        <v>#DIV/0!</v>
      </c>
      <c r="AG182" s="67" t="e">
        <f t="shared" si="107"/>
        <v>#DIV/0!</v>
      </c>
      <c r="AH182" s="58" t="e">
        <f t="shared" si="108"/>
        <v>#DIV/0!</v>
      </c>
      <c r="AI182" s="58" t="e">
        <f t="shared" si="109"/>
        <v>#DIV/0!</v>
      </c>
      <c r="AJ182" s="59" t="e">
        <f t="shared" si="94"/>
        <v>#DIV/0!</v>
      </c>
    </row>
    <row r="183" spans="1:76" x14ac:dyDescent="0.3">
      <c r="B183" s="3"/>
      <c r="G183" s="12"/>
      <c r="T183" s="57" t="e">
        <f t="shared" si="93"/>
        <v>#DIV/0!</v>
      </c>
      <c r="U183" s="58" t="e">
        <f t="shared" si="95"/>
        <v>#DIV/0!</v>
      </c>
      <c r="V183" s="58" t="e">
        <f t="shared" si="96"/>
        <v>#DIV/0!</v>
      </c>
      <c r="W183" s="58" t="e">
        <f t="shared" si="97"/>
        <v>#DIV/0!</v>
      </c>
      <c r="X183" s="58" t="e">
        <f t="shared" si="98"/>
        <v>#DIV/0!</v>
      </c>
      <c r="Y183" s="58" t="e">
        <f t="shared" si="99"/>
        <v>#DIV/0!</v>
      </c>
      <c r="Z183" s="58" t="e">
        <f t="shared" si="100"/>
        <v>#DIV/0!</v>
      </c>
      <c r="AA183" s="58" t="e">
        <f t="shared" si="101"/>
        <v>#DIV/0!</v>
      </c>
      <c r="AB183" s="58" t="e">
        <f t="shared" si="102"/>
        <v>#DIV/0!</v>
      </c>
      <c r="AC183" s="58" t="e">
        <f t="shared" si="103"/>
        <v>#DIV/0!</v>
      </c>
      <c r="AD183" s="58" t="e">
        <f t="shared" si="104"/>
        <v>#DIV/0!</v>
      </c>
      <c r="AE183" s="44" t="e">
        <f t="shared" si="105"/>
        <v>#DIV/0!</v>
      </c>
      <c r="AF183" s="44" t="e">
        <f t="shared" si="106"/>
        <v>#DIV/0!</v>
      </c>
      <c r="AG183" s="67" t="e">
        <f t="shared" si="107"/>
        <v>#DIV/0!</v>
      </c>
      <c r="AH183" s="58" t="e">
        <f t="shared" si="108"/>
        <v>#DIV/0!</v>
      </c>
      <c r="AI183" s="58" t="e">
        <f t="shared" si="109"/>
        <v>#DIV/0!</v>
      </c>
      <c r="AJ183" s="59" t="e">
        <f t="shared" si="94"/>
        <v>#DIV/0!</v>
      </c>
    </row>
    <row r="184" spans="1:76" x14ac:dyDescent="0.3">
      <c r="A184">
        <v>2025</v>
      </c>
      <c r="B184" s="3">
        <f>K91</f>
        <v>465065</v>
      </c>
      <c r="C184">
        <f t="shared" ref="C184" si="110">(A184-1999)*6251.8+283550</f>
        <v>446096.80000000005</v>
      </c>
      <c r="D184">
        <f t="shared" si="89"/>
        <v>4.2520367776679668E-2</v>
      </c>
      <c r="E184">
        <f t="shared" si="90"/>
        <v>112.7561103330039</v>
      </c>
      <c r="F184">
        <v>100</v>
      </c>
      <c r="G184" s="12">
        <f t="shared" si="91"/>
        <v>4.2520367776679748</v>
      </c>
      <c r="T184" s="57" t="e">
        <f t="shared" si="93"/>
        <v>#DIV/0!</v>
      </c>
      <c r="U184" s="58" t="e">
        <f t="shared" si="95"/>
        <v>#DIV/0!</v>
      </c>
      <c r="V184" s="58" t="e">
        <f t="shared" si="96"/>
        <v>#DIV/0!</v>
      </c>
      <c r="W184" s="58" t="e">
        <f t="shared" si="97"/>
        <v>#DIV/0!</v>
      </c>
      <c r="X184" s="58" t="e">
        <f t="shared" si="98"/>
        <v>#DIV/0!</v>
      </c>
      <c r="Y184" s="58" t="e">
        <f t="shared" si="99"/>
        <v>#DIV/0!</v>
      </c>
      <c r="Z184" s="58" t="e">
        <f t="shared" si="100"/>
        <v>#DIV/0!</v>
      </c>
      <c r="AA184" s="58" t="e">
        <f t="shared" si="101"/>
        <v>#DIV/0!</v>
      </c>
      <c r="AB184" s="58" t="e">
        <f t="shared" si="102"/>
        <v>#DIV/0!</v>
      </c>
      <c r="AC184" s="58" t="e">
        <f t="shared" si="103"/>
        <v>#DIV/0!</v>
      </c>
      <c r="AD184" s="58" t="e">
        <f t="shared" si="104"/>
        <v>#DIV/0!</v>
      </c>
      <c r="AE184" s="44" t="e">
        <f t="shared" si="105"/>
        <v>#DIV/0!</v>
      </c>
      <c r="AF184" s="44" t="e">
        <f t="shared" si="106"/>
        <v>#DIV/0!</v>
      </c>
      <c r="AG184" s="67" t="e">
        <f t="shared" si="107"/>
        <v>#DIV/0!</v>
      </c>
      <c r="AH184" s="58" t="e">
        <f t="shared" si="108"/>
        <v>#DIV/0!</v>
      </c>
      <c r="AI184" s="58" t="e">
        <f t="shared" si="109"/>
        <v>#DIV/0!</v>
      </c>
      <c r="AJ184" s="59" t="e">
        <f t="shared" si="94"/>
        <v>#DIV/0!</v>
      </c>
    </row>
    <row r="185" spans="1:76" x14ac:dyDescent="0.3">
      <c r="C185" t="s">
        <v>37</v>
      </c>
      <c r="D185" s="19">
        <f>AVERAGE(D162:D184)</f>
        <v>2.3330906904596837E-3</v>
      </c>
      <c r="T185" s="57" t="e">
        <f t="shared" si="93"/>
        <v>#DIV/0!</v>
      </c>
      <c r="U185" s="58" t="e">
        <f t="shared" si="95"/>
        <v>#DIV/0!</v>
      </c>
      <c r="V185" s="58" t="e">
        <f t="shared" si="96"/>
        <v>#DIV/0!</v>
      </c>
      <c r="W185" s="58" t="e">
        <f t="shared" si="97"/>
        <v>#DIV/0!</v>
      </c>
      <c r="X185" s="58" t="e">
        <f t="shared" si="98"/>
        <v>#DIV/0!</v>
      </c>
      <c r="Y185" s="58" t="e">
        <f t="shared" si="99"/>
        <v>#DIV/0!</v>
      </c>
      <c r="Z185" s="58" t="e">
        <f t="shared" si="100"/>
        <v>#DIV/0!</v>
      </c>
      <c r="AA185" s="58" t="e">
        <f t="shared" si="101"/>
        <v>#DIV/0!</v>
      </c>
      <c r="AB185" s="58" t="e">
        <f t="shared" si="102"/>
        <v>#DIV/0!</v>
      </c>
      <c r="AC185" s="58" t="e">
        <f t="shared" si="103"/>
        <v>#DIV/0!</v>
      </c>
      <c r="AD185" s="58" t="e">
        <f t="shared" si="104"/>
        <v>#DIV/0!</v>
      </c>
      <c r="AE185" s="44" t="e">
        <f t="shared" si="105"/>
        <v>#DIV/0!</v>
      </c>
      <c r="AF185" s="44" t="e">
        <f t="shared" si="106"/>
        <v>#DIV/0!</v>
      </c>
      <c r="AG185" s="67" t="e">
        <f t="shared" si="107"/>
        <v>#DIV/0!</v>
      </c>
      <c r="AH185" s="58" t="e">
        <f t="shared" si="108"/>
        <v>#DIV/0!</v>
      </c>
      <c r="AI185" s="58" t="e">
        <f t="shared" si="109"/>
        <v>#DIV/0!</v>
      </c>
      <c r="AJ185" s="59" t="e">
        <f t="shared" si="94"/>
        <v>#DIV/0!</v>
      </c>
    </row>
    <row r="186" spans="1:76" ht="16.2" thickBot="1" x14ac:dyDescent="0.35">
      <c r="C186" t="s">
        <v>38</v>
      </c>
      <c r="D186" s="12">
        <f>MIN(D162:D185)</f>
        <v>-0.17890884325958889</v>
      </c>
      <c r="T186" s="60" t="e">
        <f t="shared" si="93"/>
        <v>#DIV/0!</v>
      </c>
      <c r="U186" s="61" t="e">
        <f t="shared" si="95"/>
        <v>#DIV/0!</v>
      </c>
      <c r="V186" s="61" t="e">
        <f t="shared" si="96"/>
        <v>#DIV/0!</v>
      </c>
      <c r="W186" s="61" t="e">
        <f t="shared" si="97"/>
        <v>#DIV/0!</v>
      </c>
      <c r="X186" s="61" t="e">
        <f t="shared" si="98"/>
        <v>#DIV/0!</v>
      </c>
      <c r="Y186" s="61" t="e">
        <f t="shared" si="99"/>
        <v>#DIV/0!</v>
      </c>
      <c r="Z186" s="61" t="e">
        <f t="shared" si="100"/>
        <v>#DIV/0!</v>
      </c>
      <c r="AA186" s="61" t="e">
        <f t="shared" si="101"/>
        <v>#DIV/0!</v>
      </c>
      <c r="AB186" s="61" t="e">
        <f t="shared" si="102"/>
        <v>#DIV/0!</v>
      </c>
      <c r="AC186" s="61" t="e">
        <f t="shared" si="103"/>
        <v>#DIV/0!</v>
      </c>
      <c r="AD186" s="61" t="e">
        <f t="shared" si="104"/>
        <v>#DIV/0!</v>
      </c>
      <c r="AE186" s="77" t="e">
        <f t="shared" si="105"/>
        <v>#DIV/0!</v>
      </c>
      <c r="AF186" s="77" t="e">
        <f t="shared" si="106"/>
        <v>#DIV/0!</v>
      </c>
      <c r="AG186" s="70" t="e">
        <f t="shared" si="107"/>
        <v>#DIV/0!</v>
      </c>
      <c r="AH186" s="61" t="e">
        <f t="shared" si="108"/>
        <v>#DIV/0!</v>
      </c>
      <c r="AI186" s="61" t="e">
        <f t="shared" si="109"/>
        <v>#DIV/0!</v>
      </c>
      <c r="AJ186" s="62" t="e">
        <f>IF(BU148&gt;105,"NA",IF(BU148&lt;93,"NA",AJ148))</f>
        <v>#DIV/0!</v>
      </c>
    </row>
    <row r="187" spans="1:76" x14ac:dyDescent="0.3">
      <c r="C187" t="s">
        <v>39</v>
      </c>
      <c r="D187" s="12">
        <f>MAX(D162:D184)</f>
        <v>0.10145098906409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</row>
    <row r="188" spans="1:76" x14ac:dyDescent="0.3">
      <c r="C188" t="s">
        <v>41</v>
      </c>
      <c r="D188" s="20">
        <f>STDEV(D162:D184)</f>
        <v>6.6930952765793555E-2</v>
      </c>
      <c r="Q188" t="s">
        <v>55</v>
      </c>
    </row>
    <row r="189" spans="1:76" x14ac:dyDescent="0.3">
      <c r="Q189" t="s">
        <v>10</v>
      </c>
    </row>
    <row r="190" spans="1:76" x14ac:dyDescent="0.3">
      <c r="Q190" t="s">
        <v>10</v>
      </c>
      <c r="R190" t="s">
        <v>42</v>
      </c>
      <c r="X190" t="s">
        <v>56</v>
      </c>
      <c r="Y190" t="s">
        <v>57</v>
      </c>
    </row>
    <row r="191" spans="1:76" x14ac:dyDescent="0.3">
      <c r="Q191">
        <f>C20</f>
        <v>465065</v>
      </c>
      <c r="R191">
        <v>413531</v>
      </c>
      <c r="T191">
        <f>$C$145+R161</f>
        <v>106.76472178715882</v>
      </c>
      <c r="U191" s="63">
        <f>(((($Q$191/((T191/100)*$R$75))^$O$66)/$W$75)*100)*0.0323+1.8946</f>
        <v>3.2252204345023223</v>
      </c>
      <c r="W191" t="s">
        <v>58</v>
      </c>
      <c r="X191">
        <f>AVERAGE(U192:U197)</f>
        <v>3.7181196456521133</v>
      </c>
      <c r="Y191">
        <f>MAX(U192:U197)-MIN(U192:U197)</f>
        <v>0.45650773791757215</v>
      </c>
      <c r="Z191">
        <f>COUNT(U191:U197)</f>
        <v>7</v>
      </c>
      <c r="AA191" s="87">
        <f>Z191/17</f>
        <v>0.41176470588235292</v>
      </c>
    </row>
    <row r="192" spans="1:76" x14ac:dyDescent="0.3">
      <c r="G192" s="12"/>
      <c r="T192">
        <f>$C$145+R162</f>
        <v>109.09526827415395</v>
      </c>
      <c r="U192" s="63">
        <f>(((($Q$191/((T192/100)*$R$75))^$O$66)/$W$75)*100)*0.0323+1.8946</f>
        <v>3.405444365529906</v>
      </c>
      <c r="W192" t="s">
        <v>70</v>
      </c>
      <c r="X192">
        <f>AVERAGE(U198:U203)</f>
        <v>4.1760458119322132</v>
      </c>
      <c r="Y192">
        <f>MAX(U198:U203)-MIN(U198:U203)</f>
        <v>0.35521005453274412</v>
      </c>
      <c r="Z192">
        <f>COUNT(U198:U203)</f>
        <v>6</v>
      </c>
      <c r="AA192" s="87">
        <f>Z192/17</f>
        <v>0.35294117647058826</v>
      </c>
    </row>
    <row r="193" spans="7:27" x14ac:dyDescent="0.3">
      <c r="G193" s="12"/>
      <c r="T193">
        <f>$C$145+R163</f>
        <v>112.68788839490624</v>
      </c>
      <c r="U193" s="63">
        <f>(((($Q$191/((T193/100)*$R$75))^$O$66)/$W$75)*100)*0.0323+1.8946</f>
        <v>3.7226675397179316</v>
      </c>
      <c r="W193" t="s">
        <v>71</v>
      </c>
      <c r="X193">
        <f>AVERAGE(U204:U207)</f>
        <v>4.6630653609511548</v>
      </c>
      <c r="Y193">
        <f>MAX(U204:U207)-MIN(U204:U207)</f>
        <v>0.73436580753655001</v>
      </c>
      <c r="Z193">
        <f>COUNT(U204:U207)</f>
        <v>4</v>
      </c>
      <c r="AA193" s="87">
        <f>Z193/17</f>
        <v>0.23529411764705882</v>
      </c>
    </row>
    <row r="194" spans="7:27" x14ac:dyDescent="0.3">
      <c r="G194" s="12"/>
      <c r="T194">
        <f>$C$145+R164</f>
        <v>112.69326731195572</v>
      </c>
      <c r="U194" s="63">
        <f>(((($Q$191/((T194/100)*$R$75))^$O$66)/$W$75)*100)*0.0323+1.8946</f>
        <v>3.7231808873082803</v>
      </c>
    </row>
    <row r="195" spans="7:27" x14ac:dyDescent="0.3">
      <c r="G195" s="12"/>
      <c r="T195">
        <f t="shared" ref="T195:T207" si="111">$C$145+R165</f>
        <v>113.19564869992034</v>
      </c>
      <c r="U195" s="63">
        <f>(((($Q$191/((T195/100)*$R$75))^$O$66)/$W$75)*100)*0.0323+1.8946</f>
        <v>3.7716570939520744</v>
      </c>
    </row>
    <row r="196" spans="7:27" x14ac:dyDescent="0.3">
      <c r="G196" s="12"/>
      <c r="T196">
        <f t="shared" si="111"/>
        <v>113.7243076507313</v>
      </c>
      <c r="U196" s="63">
        <f t="shared" ref="U196:U207" si="112">(((($Q$191/((T196/100)*$R$75))^$O$66)/$W$75)*100)*0.0323+1.8946</f>
        <v>3.8238158839570078</v>
      </c>
    </row>
    <row r="197" spans="7:27" x14ac:dyDescent="0.3">
      <c r="G197" s="12"/>
      <c r="T197">
        <f t="shared" si="111"/>
        <v>114.10338189170572</v>
      </c>
      <c r="U197" s="63">
        <f t="shared" si="112"/>
        <v>3.8619521034474782</v>
      </c>
    </row>
    <row r="198" spans="7:27" x14ac:dyDescent="0.3">
      <c r="G198" s="12"/>
      <c r="T198">
        <f t="shared" si="111"/>
        <v>115.07667746059765</v>
      </c>
      <c r="U198" s="63">
        <f t="shared" si="112"/>
        <v>3.9627446167361517</v>
      </c>
    </row>
    <row r="199" spans="7:27" x14ac:dyDescent="0.3">
      <c r="G199" s="12"/>
      <c r="T199">
        <f t="shared" si="111"/>
        <v>115.65600000000001</v>
      </c>
      <c r="U199" s="63">
        <f t="shared" si="112"/>
        <v>4.0247464135458255</v>
      </c>
    </row>
    <row r="200" spans="7:27" x14ac:dyDescent="0.3">
      <c r="G200" s="12"/>
      <c r="T200">
        <f t="shared" si="111"/>
        <v>117.51867199725064</v>
      </c>
      <c r="U200" s="63">
        <f t="shared" si="112"/>
        <v>4.2346513059484359</v>
      </c>
    </row>
    <row r="201" spans="7:27" x14ac:dyDescent="0.3">
      <c r="G201" s="12"/>
      <c r="T201">
        <f t="shared" si="111"/>
        <v>117.70459317486191</v>
      </c>
      <c r="U201" s="63">
        <f t="shared" si="112"/>
        <v>4.2565126026344622</v>
      </c>
    </row>
    <row r="202" spans="7:27" x14ac:dyDescent="0.3">
      <c r="G202" s="12"/>
      <c r="T202">
        <f t="shared" si="111"/>
        <v>117.73128725993023</v>
      </c>
      <c r="U202" s="63">
        <f t="shared" si="112"/>
        <v>4.2596652614595047</v>
      </c>
    </row>
    <row r="203" spans="7:27" x14ac:dyDescent="0.3">
      <c r="G203" s="12"/>
      <c r="T203">
        <f t="shared" si="111"/>
        <v>118.21958956893215</v>
      </c>
      <c r="U203" s="63">
        <f t="shared" si="112"/>
        <v>4.3179546712688959</v>
      </c>
    </row>
    <row r="204" spans="7:27" x14ac:dyDescent="0.3">
      <c r="G204" s="12"/>
      <c r="T204">
        <f t="shared" si="111"/>
        <v>118.51162878647095</v>
      </c>
      <c r="U204" s="86">
        <f t="shared" si="112"/>
        <v>4.353382069396849</v>
      </c>
    </row>
    <row r="205" spans="7:27" x14ac:dyDescent="0.3">
      <c r="G205" s="12"/>
      <c r="T205">
        <f t="shared" si="111"/>
        <v>119.8590194810684</v>
      </c>
      <c r="U205" s="63">
        <f t="shared" si="112"/>
        <v>4.5224522346324543</v>
      </c>
    </row>
    <row r="206" spans="7:27" x14ac:dyDescent="0.3">
      <c r="G206" s="12"/>
      <c r="T206">
        <f t="shared" si="111"/>
        <v>121.11533740245537</v>
      </c>
      <c r="U206" s="63">
        <f t="shared" si="112"/>
        <v>4.6886792628419141</v>
      </c>
    </row>
    <row r="207" spans="7:27" x14ac:dyDescent="0.3">
      <c r="G207" s="12"/>
      <c r="T207">
        <f t="shared" si="111"/>
        <v>123.89557511054765</v>
      </c>
      <c r="U207" s="63">
        <f t="shared" si="112"/>
        <v>5.087747876933399</v>
      </c>
    </row>
    <row r="208" spans="7:27" x14ac:dyDescent="0.3">
      <c r="G208" s="12"/>
      <c r="T208" s="66"/>
      <c r="U208" s="2"/>
    </row>
    <row r="209" spans="7:21" x14ac:dyDescent="0.3">
      <c r="G209" s="12"/>
      <c r="T209" s="66"/>
      <c r="U209" s="2"/>
    </row>
    <row r="210" spans="7:21" x14ac:dyDescent="0.3">
      <c r="G210" s="12"/>
      <c r="T210" s="66"/>
      <c r="U210" s="2"/>
    </row>
    <row r="211" spans="7:21" x14ac:dyDescent="0.3">
      <c r="G211" s="12"/>
      <c r="T211" s="66"/>
      <c r="U211" s="2"/>
    </row>
    <row r="212" spans="7:21" x14ac:dyDescent="0.3">
      <c r="G212" s="12"/>
      <c r="T212" s="66"/>
      <c r="U212" s="2"/>
    </row>
    <row r="213" spans="7:21" x14ac:dyDescent="0.3">
      <c r="G213" s="12"/>
      <c r="T213" s="66"/>
      <c r="U213" s="2"/>
    </row>
    <row r="214" spans="7:21" x14ac:dyDescent="0.3">
      <c r="G214" s="12"/>
      <c r="R214" s="32"/>
      <c r="T214" s="64"/>
      <c r="U214" s="65"/>
    </row>
    <row r="215" spans="7:21" x14ac:dyDescent="0.3">
      <c r="G215" s="12"/>
      <c r="T215" s="64"/>
      <c r="U215" s="65"/>
    </row>
    <row r="216" spans="7:21" x14ac:dyDescent="0.3">
      <c r="G216" s="12"/>
      <c r="T216" s="64"/>
      <c r="U216" s="65"/>
    </row>
    <row r="217" spans="7:21" x14ac:dyDescent="0.3">
      <c r="G217" s="12"/>
      <c r="T217" s="16"/>
    </row>
    <row r="218" spans="7:21" x14ac:dyDescent="0.3">
      <c r="T218" s="16"/>
    </row>
  </sheetData>
  <sortState xmlns:xlrd2="http://schemas.microsoft.com/office/spreadsheetml/2017/richdata2" ref="I129:I145">
    <sortCondition ref="I129:I145"/>
  </sortState>
  <mergeCells count="1">
    <mergeCell ref="G18:I18"/>
  </mergeCells>
  <conditionalFormatting sqref="T161:AJ186">
    <cfRule type="cellIs" dxfId="1" priority="1" operator="lessThan">
      <formula>4</formula>
    </cfRule>
    <cfRule type="cellIs" dxfId="0" priority="2" operator="greaterThan">
      <formula>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5447-C227-954F-BA6B-0862491FB2BD}">
  <dimension ref="A1:AF116"/>
  <sheetViews>
    <sheetView topLeftCell="A6" zoomScale="63" zoomScaleNormal="55" workbookViewId="0">
      <selection activeCell="R63" sqref="R63"/>
    </sheetView>
  </sheetViews>
  <sheetFormatPr defaultColWidth="11.19921875" defaultRowHeight="15.6" x14ac:dyDescent="0.3"/>
  <cols>
    <col min="17" max="17" width="12.19921875" bestFit="1" customWidth="1"/>
    <col min="18" max="18" width="11.19921875" bestFit="1" customWidth="1"/>
    <col min="23" max="23" width="12.19921875" bestFit="1" customWidth="1"/>
    <col min="29" max="29" width="12.296875" bestFit="1" customWidth="1"/>
  </cols>
  <sheetData>
    <row r="1" spans="1:24" x14ac:dyDescent="0.3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t="s">
        <v>13</v>
      </c>
      <c r="O1">
        <v>-0.17</v>
      </c>
      <c r="Q1" t="s">
        <v>14</v>
      </c>
      <c r="R1" t="s">
        <v>15</v>
      </c>
      <c r="S1" s="4" t="s">
        <v>16</v>
      </c>
      <c r="T1" t="s">
        <v>17</v>
      </c>
      <c r="V1" t="s">
        <v>18</v>
      </c>
      <c r="X1" s="4" t="s">
        <v>19</v>
      </c>
    </row>
    <row r="2" spans="1:24" x14ac:dyDescent="0.3">
      <c r="A2">
        <v>2000</v>
      </c>
      <c r="B2" s="1">
        <v>110.65268707275391</v>
      </c>
      <c r="C2" s="2">
        <v>48240</v>
      </c>
      <c r="D2" s="2">
        <v>175136</v>
      </c>
      <c r="E2" s="1">
        <v>6161884811</v>
      </c>
      <c r="F2" s="1">
        <v>282398</v>
      </c>
      <c r="G2" s="1">
        <v>10250.951999999999</v>
      </c>
      <c r="H2" s="1">
        <v>73.822000000000003</v>
      </c>
      <c r="I2" s="3">
        <v>247415</v>
      </c>
      <c r="J2" s="3">
        <v>3.6736133122028529</v>
      </c>
      <c r="K2" s="3">
        <v>295655</v>
      </c>
      <c r="L2" s="4">
        <f t="shared" ref="L2:L27" si="0">(K2/$K$11)*100</f>
        <v>78.917725691803</v>
      </c>
      <c r="M2" s="4">
        <f t="shared" ref="M2:M10" si="1">100-(L2-100)</f>
        <v>121.082274308197</v>
      </c>
      <c r="N2" t="s">
        <v>20</v>
      </c>
      <c r="O2">
        <f>1/O1</f>
        <v>-5.8823529411764701</v>
      </c>
      <c r="P2">
        <v>2000</v>
      </c>
      <c r="Q2">
        <f t="shared" ref="Q2:Q27" si="2">J2^$O$1</f>
        <v>0.8015564537064388</v>
      </c>
      <c r="R2">
        <f t="shared" ref="R2:R27" si="3">I2/Q2</f>
        <v>308668.21526536299</v>
      </c>
      <c r="S2" s="4">
        <f>(R2/$R$28)*100</f>
        <v>70.993801489044515</v>
      </c>
      <c r="T2" s="5"/>
      <c r="V2">
        <f>K2/R2</f>
        <v>0.95784076681113572</v>
      </c>
      <c r="W2">
        <f t="shared" ref="W2:W27" si="4">V2^$O$2</f>
        <v>1.2883661645613214</v>
      </c>
      <c r="X2" s="4">
        <f t="shared" ref="X2:X27" si="5">(W2/$W$11)*100</f>
        <v>48.924870695448078</v>
      </c>
    </row>
    <row r="3" spans="1:24" x14ac:dyDescent="0.3">
      <c r="A3">
        <v>2001</v>
      </c>
      <c r="B3" s="1">
        <v>117.24627685546875</v>
      </c>
      <c r="C3" s="2">
        <v>40551</v>
      </c>
      <c r="D3" s="2">
        <v>151409</v>
      </c>
      <c r="E3" s="1">
        <v>6245112906</v>
      </c>
      <c r="F3" s="1">
        <v>285225</v>
      </c>
      <c r="G3" s="1">
        <v>10581.929</v>
      </c>
      <c r="H3" s="1">
        <v>75.302000000000007</v>
      </c>
      <c r="I3" s="3">
        <v>249324</v>
      </c>
      <c r="J3" s="3">
        <v>3.7917204301075276</v>
      </c>
      <c r="K3" s="3">
        <v>289875</v>
      </c>
      <c r="L3" s="4">
        <f t="shared" si="0"/>
        <v>77.374898902137261</v>
      </c>
      <c r="M3" s="4">
        <f t="shared" si="1"/>
        <v>122.62510109786274</v>
      </c>
      <c r="P3">
        <v>2001</v>
      </c>
      <c r="Q3">
        <f t="shared" si="2"/>
        <v>0.79725605726351467</v>
      </c>
      <c r="R3">
        <f t="shared" si="3"/>
        <v>312727.63339769986</v>
      </c>
      <c r="S3" s="4">
        <f t="shared" ref="S3:S27" si="6">(R3/$R$28)*100</f>
        <v>71.927469132149241</v>
      </c>
      <c r="T3" s="5"/>
      <c r="V3">
        <f t="shared" ref="V3:V27" si="7">K3/R3</f>
        <v>0.92692480306453173</v>
      </c>
      <c r="W3">
        <f t="shared" si="4"/>
        <v>1.5626289377873368</v>
      </c>
      <c r="X3" s="4">
        <f t="shared" si="5"/>
        <v>59.339821883821323</v>
      </c>
    </row>
    <row r="4" spans="1:24" x14ac:dyDescent="0.3">
      <c r="A4">
        <v>2002</v>
      </c>
      <c r="B4" s="1">
        <v>103.79281616210938</v>
      </c>
      <c r="C4" s="2">
        <v>27603</v>
      </c>
      <c r="D4" s="2">
        <v>126942</v>
      </c>
      <c r="E4" s="1">
        <v>6327557399</v>
      </c>
      <c r="F4" s="1">
        <v>287955</v>
      </c>
      <c r="G4" s="1">
        <v>10929.108</v>
      </c>
      <c r="H4" s="1">
        <v>76.290999999999997</v>
      </c>
      <c r="I4" s="3">
        <v>241082</v>
      </c>
      <c r="J4" s="3">
        <v>4.384555052790347</v>
      </c>
      <c r="K4" s="3">
        <v>268685</v>
      </c>
      <c r="L4" s="4">
        <f t="shared" si="0"/>
        <v>71.718757090196632</v>
      </c>
      <c r="M4" s="4">
        <f t="shared" si="1"/>
        <v>128.28124290980338</v>
      </c>
      <c r="P4">
        <v>2002</v>
      </c>
      <c r="Q4">
        <f t="shared" si="2"/>
        <v>0.77780845604991511</v>
      </c>
      <c r="R4">
        <f t="shared" si="3"/>
        <v>309950.34590435051</v>
      </c>
      <c r="S4" s="4">
        <f t="shared" si="6"/>
        <v>71.288692001140319</v>
      </c>
      <c r="T4" s="5"/>
      <c r="V4">
        <f t="shared" si="7"/>
        <v>0.86686465606628216</v>
      </c>
      <c r="W4">
        <f t="shared" si="4"/>
        <v>2.3173539651052302</v>
      </c>
      <c r="X4" s="4">
        <f t="shared" si="5"/>
        <v>88.000016002408003</v>
      </c>
    </row>
    <row r="5" spans="1:24" x14ac:dyDescent="0.3">
      <c r="A5">
        <v>2003</v>
      </c>
      <c r="B5" s="1">
        <v>96.601188659667969</v>
      </c>
      <c r="C5" s="2">
        <v>24337</v>
      </c>
      <c r="D5" s="2">
        <v>104701</v>
      </c>
      <c r="E5" s="1">
        <v>6409750441</v>
      </c>
      <c r="F5" s="1">
        <v>290626</v>
      </c>
      <c r="G5" s="1">
        <v>11456.45</v>
      </c>
      <c r="H5" s="1">
        <v>77.894000000000005</v>
      </c>
      <c r="I5" s="3">
        <v>259853</v>
      </c>
      <c r="J5" s="3">
        <v>4.4789660265878872</v>
      </c>
      <c r="K5" s="3">
        <v>284190</v>
      </c>
      <c r="L5" s="4">
        <f t="shared" si="0"/>
        <v>75.857429992232483</v>
      </c>
      <c r="M5" s="4">
        <f t="shared" si="1"/>
        <v>124.14257000776752</v>
      </c>
      <c r="P5">
        <v>2003</v>
      </c>
      <c r="Q5">
        <f t="shared" si="2"/>
        <v>0.77499656820133334</v>
      </c>
      <c r="R5">
        <f t="shared" si="3"/>
        <v>335295.67828033766</v>
      </c>
      <c r="S5" s="4">
        <f t="shared" si="6"/>
        <v>77.118127642344163</v>
      </c>
      <c r="T5" s="5"/>
      <c r="V5">
        <f t="shared" si="7"/>
        <v>0.84758026544675991</v>
      </c>
      <c r="W5">
        <f t="shared" si="4"/>
        <v>2.6452435786475923</v>
      </c>
      <c r="X5" s="4">
        <f t="shared" si="5"/>
        <v>100.45141172064518</v>
      </c>
    </row>
    <row r="6" spans="1:24" x14ac:dyDescent="0.3">
      <c r="A6">
        <v>2004</v>
      </c>
      <c r="B6" s="1">
        <v>92.980888366699219</v>
      </c>
      <c r="C6" s="2">
        <v>53697</v>
      </c>
      <c r="D6" s="2">
        <v>131156</v>
      </c>
      <c r="E6" s="1">
        <v>6492769815</v>
      </c>
      <c r="F6" s="1">
        <v>293262</v>
      </c>
      <c r="G6" s="1">
        <v>12217.196</v>
      </c>
      <c r="H6" s="1">
        <v>79.826999999999998</v>
      </c>
      <c r="I6" s="3">
        <v>270791</v>
      </c>
      <c r="J6" s="3">
        <v>3.6874000000000007</v>
      </c>
      <c r="K6" s="3">
        <v>324488</v>
      </c>
      <c r="L6" s="4">
        <f t="shared" si="0"/>
        <v>86.613975661773935</v>
      </c>
      <c r="M6" s="4">
        <f t="shared" si="1"/>
        <v>113.38602433822606</v>
      </c>
      <c r="P6">
        <v>2004</v>
      </c>
      <c r="Q6">
        <f t="shared" si="2"/>
        <v>0.80104618656105331</v>
      </c>
      <c r="R6">
        <f t="shared" si="3"/>
        <v>338046.67513932561</v>
      </c>
      <c r="S6" s="4">
        <f t="shared" si="6"/>
        <v>77.750857917912285</v>
      </c>
      <c r="T6" s="5"/>
      <c r="V6">
        <f t="shared" si="7"/>
        <v>0.95989111523212756</v>
      </c>
      <c r="W6">
        <f t="shared" si="4"/>
        <v>1.2722622352378288</v>
      </c>
      <c r="X6" s="4">
        <f t="shared" si="5"/>
        <v>48.313334409016051</v>
      </c>
    </row>
    <row r="7" spans="1:24" x14ac:dyDescent="0.3">
      <c r="A7">
        <v>2005</v>
      </c>
      <c r="B7" s="1">
        <v>91.054237365722656</v>
      </c>
      <c r="C7" s="2">
        <v>49968</v>
      </c>
      <c r="D7" s="2">
        <v>123418</v>
      </c>
      <c r="E7" s="1">
        <v>6575841506</v>
      </c>
      <c r="F7" s="1">
        <v>295993</v>
      </c>
      <c r="G7" s="1">
        <v>13039.197</v>
      </c>
      <c r="H7" s="1">
        <v>82.126999999999995</v>
      </c>
      <c r="I7" s="3">
        <v>286216</v>
      </c>
      <c r="J7" s="3">
        <v>3.4951185495118553</v>
      </c>
      <c r="K7" s="3">
        <v>336184</v>
      </c>
      <c r="L7" s="4">
        <f t="shared" si="0"/>
        <v>89.735931047921056</v>
      </c>
      <c r="M7" s="4">
        <f t="shared" si="1"/>
        <v>110.26406895207894</v>
      </c>
      <c r="P7">
        <v>2005</v>
      </c>
      <c r="Q7">
        <f t="shared" si="2"/>
        <v>0.80837239630090485</v>
      </c>
      <c r="R7">
        <f t="shared" si="3"/>
        <v>354064.53920212813</v>
      </c>
      <c r="S7" s="4">
        <f t="shared" si="6"/>
        <v>81.434972463284154</v>
      </c>
      <c r="T7" s="5"/>
      <c r="V7">
        <f t="shared" si="7"/>
        <v>0.94949920926161857</v>
      </c>
      <c r="W7">
        <f t="shared" si="4"/>
        <v>1.3563902595578872</v>
      </c>
      <c r="X7" s="4">
        <f t="shared" si="5"/>
        <v>51.508041647484873</v>
      </c>
    </row>
    <row r="8" spans="1:24" x14ac:dyDescent="0.3">
      <c r="A8">
        <v>2006</v>
      </c>
      <c r="B8" s="1">
        <v>84.098709106445313</v>
      </c>
      <c r="C8" s="2">
        <v>33114</v>
      </c>
      <c r="D8" s="2">
        <v>108756</v>
      </c>
      <c r="E8" s="1">
        <v>6659977025</v>
      </c>
      <c r="F8" s="1">
        <v>298818</v>
      </c>
      <c r="G8" s="1">
        <v>13815.583000000001</v>
      </c>
      <c r="H8" s="1">
        <v>84.44</v>
      </c>
      <c r="I8" s="3">
        <v>284661</v>
      </c>
      <c r="J8" s="3">
        <v>5.1895367847411444</v>
      </c>
      <c r="K8" s="3">
        <v>317775</v>
      </c>
      <c r="L8" s="4">
        <f t="shared" si="0"/>
        <v>84.82210780035075</v>
      </c>
      <c r="M8" s="4">
        <f t="shared" si="1"/>
        <v>115.17789219964925</v>
      </c>
      <c r="P8">
        <v>2006</v>
      </c>
      <c r="Q8">
        <f t="shared" si="2"/>
        <v>0.75583698444949521</v>
      </c>
      <c r="R8">
        <f t="shared" si="3"/>
        <v>376616.92382958665</v>
      </c>
      <c r="S8" s="4">
        <f t="shared" si="6"/>
        <v>86.622029109106663</v>
      </c>
      <c r="T8" s="5"/>
      <c r="V8">
        <f t="shared" si="7"/>
        <v>0.84376187020153215</v>
      </c>
      <c r="W8">
        <f t="shared" si="4"/>
        <v>2.7164431093477028</v>
      </c>
      <c r="X8" s="4">
        <f t="shared" si="5"/>
        <v>103.15516778696939</v>
      </c>
    </row>
    <row r="9" spans="1:24" x14ac:dyDescent="0.3">
      <c r="A9">
        <v>2007</v>
      </c>
      <c r="B9" s="1">
        <v>79.869598388671875</v>
      </c>
      <c r="C9" s="2">
        <v>41255</v>
      </c>
      <c r="D9" s="2">
        <v>125362</v>
      </c>
      <c r="E9" s="1">
        <v>6744489399</v>
      </c>
      <c r="F9" s="1">
        <v>301696</v>
      </c>
      <c r="G9" s="1">
        <v>14474.227000000001</v>
      </c>
      <c r="H9" s="1">
        <v>86.606999999999999</v>
      </c>
      <c r="I9" s="3">
        <v>323545</v>
      </c>
      <c r="J9" s="3">
        <v>6.8972477064220197</v>
      </c>
      <c r="K9" s="3">
        <v>364800</v>
      </c>
      <c r="L9" s="4">
        <f t="shared" si="0"/>
        <v>97.374258282016996</v>
      </c>
      <c r="M9" s="4">
        <f t="shared" si="1"/>
        <v>102.625741717983</v>
      </c>
      <c r="P9">
        <v>2007</v>
      </c>
      <c r="Q9">
        <f t="shared" si="2"/>
        <v>0.72015355684685911</v>
      </c>
      <c r="R9">
        <f t="shared" si="3"/>
        <v>449272.23773859936</v>
      </c>
      <c r="S9" s="4">
        <f t="shared" si="6"/>
        <v>103.33277766592275</v>
      </c>
      <c r="T9" s="5"/>
      <c r="V9">
        <f t="shared" si="7"/>
        <v>0.81197984063340245</v>
      </c>
      <c r="W9">
        <f t="shared" si="4"/>
        <v>3.404762183127084</v>
      </c>
      <c r="X9" s="4">
        <f t="shared" si="5"/>
        <v>129.29363882740779</v>
      </c>
    </row>
    <row r="10" spans="1:24" x14ac:dyDescent="0.3">
      <c r="A10">
        <v>2008</v>
      </c>
      <c r="B10" s="1">
        <v>84.344528198242188</v>
      </c>
      <c r="C10" s="2">
        <v>42504</v>
      </c>
      <c r="D10" s="2">
        <v>136049</v>
      </c>
      <c r="E10" s="1">
        <v>6830513541</v>
      </c>
      <c r="F10" s="1">
        <v>304543</v>
      </c>
      <c r="G10" s="1">
        <v>14769.861999999999</v>
      </c>
      <c r="H10" s="1">
        <v>89.17</v>
      </c>
      <c r="I10" s="3">
        <v>305006</v>
      </c>
      <c r="J10" s="3">
        <v>6.3273383084577102</v>
      </c>
      <c r="K10" s="3">
        <v>347510</v>
      </c>
      <c r="L10" s="4">
        <f t="shared" si="0"/>
        <v>92.759124165525563</v>
      </c>
      <c r="M10" s="4">
        <f t="shared" si="1"/>
        <v>107.24087583447444</v>
      </c>
      <c r="P10">
        <v>2008</v>
      </c>
      <c r="Q10">
        <f t="shared" si="2"/>
        <v>0.73078970484863404</v>
      </c>
      <c r="R10">
        <f t="shared" si="3"/>
        <v>417364.93819815764</v>
      </c>
      <c r="S10" s="4">
        <f t="shared" si="6"/>
        <v>95.994087196357611</v>
      </c>
      <c r="T10" s="5"/>
      <c r="V10">
        <f t="shared" si="7"/>
        <v>0.83262863790203734</v>
      </c>
      <c r="W10">
        <f t="shared" si="4"/>
        <v>2.9371983092250233</v>
      </c>
      <c r="X10" s="4">
        <f t="shared" si="5"/>
        <v>111.53820353133258</v>
      </c>
    </row>
    <row r="11" spans="1:24" x14ac:dyDescent="0.3">
      <c r="A11" s="6">
        <v>2009</v>
      </c>
      <c r="B11" s="7">
        <v>82.045845031738281</v>
      </c>
      <c r="C11" s="6">
        <v>43380</v>
      </c>
      <c r="D11" s="6">
        <v>131485</v>
      </c>
      <c r="E11" s="8">
        <v>6916589116</v>
      </c>
      <c r="F11" s="6">
        <v>307240</v>
      </c>
      <c r="G11" s="6">
        <v>14478.066999999999</v>
      </c>
      <c r="H11" s="6">
        <v>88.921000000000006</v>
      </c>
      <c r="I11" s="3">
        <v>331257</v>
      </c>
      <c r="J11" s="3">
        <v>5.4311965811965814</v>
      </c>
      <c r="K11" s="3">
        <v>374637</v>
      </c>
      <c r="L11" s="4">
        <f t="shared" si="0"/>
        <v>100</v>
      </c>
      <c r="M11" s="4">
        <f>100-(L11-100)</f>
        <v>100</v>
      </c>
      <c r="P11" s="6">
        <v>2009</v>
      </c>
      <c r="Q11">
        <f t="shared" si="2"/>
        <v>0.75001122142016552</v>
      </c>
      <c r="R11">
        <f>I11/Q11</f>
        <v>441669.391789574</v>
      </c>
      <c r="S11" s="4">
        <f t="shared" si="6"/>
        <v>101.58412033950232</v>
      </c>
      <c r="T11">
        <v>100.85527239326954</v>
      </c>
      <c r="V11">
        <f>K11/R11</f>
        <v>0.84822948332921733</v>
      </c>
      <c r="W11">
        <f t="shared" si="4"/>
        <v>2.6333562996645581</v>
      </c>
      <c r="X11" s="4">
        <f t="shared" si="5"/>
        <v>100</v>
      </c>
    </row>
    <row r="12" spans="1:24" x14ac:dyDescent="0.3">
      <c r="A12">
        <v>2010</v>
      </c>
      <c r="B12" s="9">
        <v>78.358200073242188</v>
      </c>
      <c r="C12" s="2">
        <v>28644</v>
      </c>
      <c r="D12" s="2">
        <v>114858</v>
      </c>
      <c r="E12" s="10">
        <v>7001266876</v>
      </c>
      <c r="F12" s="1">
        <v>309839</v>
      </c>
      <c r="G12" s="1">
        <v>15048.971</v>
      </c>
      <c r="H12" s="1">
        <v>90.513999999999996</v>
      </c>
      <c r="I12" s="3">
        <v>331057</v>
      </c>
      <c r="J12" s="3">
        <v>7.8673212121212126</v>
      </c>
      <c r="K12" s="3">
        <v>359701</v>
      </c>
      <c r="L12" s="4">
        <f t="shared" si="0"/>
        <v>96.013207451479701</v>
      </c>
      <c r="M12" s="4">
        <f t="shared" ref="M12:M26" si="8">100-(L12-100)</f>
        <v>103.9867925485203</v>
      </c>
      <c r="P12">
        <v>2010</v>
      </c>
      <c r="Q12">
        <f t="shared" si="2"/>
        <v>0.70422174324276599</v>
      </c>
      <c r="R12">
        <f t="shared" si="3"/>
        <v>470103.34908940026</v>
      </c>
      <c r="S12" s="4">
        <f>(R12/$R$28)*100</f>
        <v>108.12394083367407</v>
      </c>
      <c r="T12">
        <v>104.36823893878218</v>
      </c>
      <c r="V12">
        <f t="shared" si="7"/>
        <v>0.76515302581176703</v>
      </c>
      <c r="W12">
        <f t="shared" si="4"/>
        <v>4.8287367484821209</v>
      </c>
      <c r="X12" s="4">
        <f t="shared" si="5"/>
        <v>183.36815071690887</v>
      </c>
    </row>
    <row r="13" spans="1:24" x14ac:dyDescent="0.3">
      <c r="A13">
        <v>2011</v>
      </c>
      <c r="B13" s="9">
        <v>83.055450439453125</v>
      </c>
      <c r="C13" s="2">
        <v>25122</v>
      </c>
      <c r="D13" s="2">
        <v>122848</v>
      </c>
      <c r="E13" s="10">
        <v>7087120034</v>
      </c>
      <c r="F13" s="1">
        <v>312295</v>
      </c>
      <c r="G13" s="1">
        <v>15599.732</v>
      </c>
      <c r="H13" s="1">
        <v>92.804000000000002</v>
      </c>
      <c r="I13" s="3">
        <v>317057</v>
      </c>
      <c r="J13" s="3">
        <v>9.1153918128654965</v>
      </c>
      <c r="K13" s="3">
        <v>342179</v>
      </c>
      <c r="L13" s="4">
        <f t="shared" si="0"/>
        <v>91.336146723361537</v>
      </c>
      <c r="M13" s="4">
        <f t="shared" si="8"/>
        <v>108.66385327663846</v>
      </c>
      <c r="P13">
        <v>2011</v>
      </c>
      <c r="Q13">
        <f t="shared" si="2"/>
        <v>0.68681250207020872</v>
      </c>
      <c r="R13">
        <f t="shared" si="3"/>
        <v>461635.45224397961</v>
      </c>
      <c r="S13" s="4">
        <f t="shared" si="6"/>
        <v>106.17632148726138</v>
      </c>
      <c r="T13">
        <v>97.927618000457429</v>
      </c>
      <c r="V13">
        <f t="shared" si="7"/>
        <v>0.74123206598776237</v>
      </c>
      <c r="W13">
        <f t="shared" si="4"/>
        <v>5.8207011382411284</v>
      </c>
      <c r="X13" s="4">
        <f t="shared" si="5"/>
        <v>221.0373559773351</v>
      </c>
    </row>
    <row r="14" spans="1:24" x14ac:dyDescent="0.3">
      <c r="A14">
        <v>2012</v>
      </c>
      <c r="B14" s="9">
        <v>83.028944651285812</v>
      </c>
      <c r="C14" s="2">
        <v>20859</v>
      </c>
      <c r="D14" s="2">
        <v>145530</v>
      </c>
      <c r="E14" s="10">
        <v>7176929184</v>
      </c>
      <c r="F14" s="1">
        <v>314725</v>
      </c>
      <c r="G14" s="1">
        <v>16253.97</v>
      </c>
      <c r="H14" s="1">
        <v>94.534000000000006</v>
      </c>
      <c r="I14" s="3">
        <v>281518</v>
      </c>
      <c r="J14" s="3">
        <v>9.8552168949771701</v>
      </c>
      <c r="K14" s="3">
        <v>302377</v>
      </c>
      <c r="L14" s="4">
        <f t="shared" si="0"/>
        <v>80.711995878677229</v>
      </c>
      <c r="M14" s="4">
        <f t="shared" si="8"/>
        <v>119.28800412132277</v>
      </c>
      <c r="P14">
        <v>2012</v>
      </c>
      <c r="Q14">
        <f t="shared" si="2"/>
        <v>0.6777612705854319</v>
      </c>
      <c r="R14">
        <f t="shared" si="3"/>
        <v>415364.54238058242</v>
      </c>
      <c r="S14" s="4">
        <f t="shared" si="6"/>
        <v>95.533995432615896</v>
      </c>
      <c r="T14">
        <v>72.563129602795655</v>
      </c>
      <c r="V14">
        <f t="shared" si="7"/>
        <v>0.72797980845207455</v>
      </c>
      <c r="W14">
        <f t="shared" si="4"/>
        <v>6.4723611573575681</v>
      </c>
      <c r="X14" s="4">
        <f t="shared" si="5"/>
        <v>245.78372315899787</v>
      </c>
    </row>
    <row r="15" spans="1:24" x14ac:dyDescent="0.3">
      <c r="A15">
        <v>2013</v>
      </c>
      <c r="B15" s="9">
        <v>86.381656646728516</v>
      </c>
      <c r="C15" s="2">
        <v>31292</v>
      </c>
      <c r="D15" s="2">
        <v>216040</v>
      </c>
      <c r="E15" s="10">
        <v>7265892332</v>
      </c>
      <c r="F15" s="1">
        <v>317099</v>
      </c>
      <c r="G15" s="1">
        <v>16880.683000000001</v>
      </c>
      <c r="H15" s="1">
        <v>95.781000000000006</v>
      </c>
      <c r="I15" s="3">
        <v>341792</v>
      </c>
      <c r="J15" s="3">
        <v>6.2861417322834638</v>
      </c>
      <c r="K15" s="3">
        <v>373084</v>
      </c>
      <c r="L15" s="4">
        <f t="shared" si="0"/>
        <v>99.58546539717112</v>
      </c>
      <c r="M15" s="4">
        <f t="shared" si="8"/>
        <v>100.41453460282888</v>
      </c>
      <c r="P15">
        <v>2013</v>
      </c>
      <c r="Q15">
        <f t="shared" si="2"/>
        <v>0.7316016753256972</v>
      </c>
      <c r="R15">
        <f t="shared" si="3"/>
        <v>467183.18386550952</v>
      </c>
      <c r="S15" s="4">
        <f t="shared" si="6"/>
        <v>107.45230177280776</v>
      </c>
      <c r="T15">
        <v>89.78565293670205</v>
      </c>
      <c r="V15">
        <f t="shared" si="7"/>
        <v>0.79858182589765825</v>
      </c>
      <c r="W15">
        <f t="shared" si="4"/>
        <v>3.7548417097366378</v>
      </c>
      <c r="X15" s="4">
        <f t="shared" si="5"/>
        <v>142.58768212318768</v>
      </c>
    </row>
    <row r="16" spans="1:24" x14ac:dyDescent="0.3">
      <c r="A16">
        <v>2014</v>
      </c>
      <c r="B16" s="9">
        <v>99.92897478739421</v>
      </c>
      <c r="C16" s="2">
        <v>43974</v>
      </c>
      <c r="D16" s="2">
        <v>279937</v>
      </c>
      <c r="E16" s="10">
        <v>7354068030</v>
      </c>
      <c r="F16" s="1">
        <v>319601</v>
      </c>
      <c r="G16" s="1">
        <v>17608.137999999999</v>
      </c>
      <c r="H16" s="1">
        <v>97.120999999999995</v>
      </c>
      <c r="I16" s="3">
        <v>349258</v>
      </c>
      <c r="J16" s="3">
        <v>5.1002200220022011</v>
      </c>
      <c r="K16" s="3">
        <v>393232</v>
      </c>
      <c r="L16" s="4">
        <f t="shared" si="0"/>
        <v>104.96347130689175</v>
      </c>
      <c r="M16" s="4">
        <f t="shared" si="8"/>
        <v>95.036528693108252</v>
      </c>
      <c r="P16">
        <v>2014</v>
      </c>
      <c r="Q16">
        <f t="shared" si="2"/>
        <v>0.75807100342453371</v>
      </c>
      <c r="R16">
        <f t="shared" si="3"/>
        <v>460719.3764466006</v>
      </c>
      <c r="S16" s="4">
        <f t="shared" si="6"/>
        <v>105.96562372153213</v>
      </c>
      <c r="T16">
        <v>87.842946400240862</v>
      </c>
      <c r="V16">
        <f t="shared" si="7"/>
        <v>0.85351739063567977</v>
      </c>
      <c r="W16">
        <f t="shared" si="4"/>
        <v>2.5388269031658992</v>
      </c>
      <c r="X16" s="4">
        <f t="shared" si="5"/>
        <v>96.410307389444398</v>
      </c>
    </row>
    <row r="17" spans="1:24" x14ac:dyDescent="0.3">
      <c r="A17">
        <v>2015</v>
      </c>
      <c r="B17" s="9">
        <v>103.52058601379395</v>
      </c>
      <c r="C17" s="2">
        <v>44123</v>
      </c>
      <c r="D17" s="2">
        <v>313363</v>
      </c>
      <c r="E17" s="10">
        <v>7441677465</v>
      </c>
      <c r="F17" s="1">
        <v>322113</v>
      </c>
      <c r="G17" s="1">
        <v>18295.019</v>
      </c>
      <c r="H17" s="1">
        <v>97.299000000000007</v>
      </c>
      <c r="I17" s="3">
        <v>347073</v>
      </c>
      <c r="J17" s="3">
        <v>4.8848056155507571</v>
      </c>
      <c r="K17" s="3">
        <v>391196</v>
      </c>
      <c r="L17" s="4">
        <f t="shared" si="0"/>
        <v>104.42001190485723</v>
      </c>
      <c r="M17" s="4">
        <f t="shared" si="8"/>
        <v>95.579988095142767</v>
      </c>
      <c r="P17">
        <v>2015</v>
      </c>
      <c r="Q17">
        <f t="shared" si="2"/>
        <v>0.76365282262712231</v>
      </c>
      <c r="R17">
        <f t="shared" si="3"/>
        <v>454490.56130768656</v>
      </c>
      <c r="S17" s="4">
        <f t="shared" si="6"/>
        <v>104.53299397990534</v>
      </c>
      <c r="T17">
        <v>81.842769537626779</v>
      </c>
      <c r="V17">
        <f t="shared" si="7"/>
        <v>0.86073514678594909</v>
      </c>
      <c r="W17">
        <f t="shared" si="4"/>
        <v>2.4161304025746491</v>
      </c>
      <c r="X17" s="4">
        <f t="shared" si="5"/>
        <v>91.750987243253803</v>
      </c>
    </row>
    <row r="18" spans="1:24" x14ac:dyDescent="0.3">
      <c r="A18">
        <v>2016</v>
      </c>
      <c r="B18" s="9">
        <v>100.41135597229004</v>
      </c>
      <c r="C18" s="2">
        <v>58253</v>
      </c>
      <c r="D18" s="2">
        <v>350824</v>
      </c>
      <c r="E18" s="10">
        <v>7528879985</v>
      </c>
      <c r="F18" s="1">
        <v>324609</v>
      </c>
      <c r="G18" s="1">
        <v>18804.913</v>
      </c>
      <c r="H18" s="1">
        <v>98.284000000000006</v>
      </c>
      <c r="I18" s="3">
        <v>372098</v>
      </c>
      <c r="J18" s="3">
        <v>4.5318406889128093</v>
      </c>
      <c r="K18" s="3">
        <v>430351</v>
      </c>
      <c r="L18" s="4">
        <f t="shared" si="0"/>
        <v>114.87146224211703</v>
      </c>
      <c r="M18" s="4">
        <f t="shared" si="8"/>
        <v>85.128537757882967</v>
      </c>
      <c r="P18">
        <v>2016</v>
      </c>
      <c r="Q18">
        <f t="shared" si="2"/>
        <v>0.77345190268138531</v>
      </c>
      <c r="R18">
        <f t="shared" si="3"/>
        <v>481087.44539902121</v>
      </c>
      <c r="S18" s="4">
        <f t="shared" si="6"/>
        <v>110.65028696967443</v>
      </c>
      <c r="T18">
        <v>88.936169369717419</v>
      </c>
      <c r="V18">
        <f t="shared" si="7"/>
        <v>0.89453799743840823</v>
      </c>
      <c r="W18">
        <f t="shared" si="4"/>
        <v>1.9262514692192405</v>
      </c>
      <c r="X18" s="4">
        <f t="shared" si="5"/>
        <v>73.148152016672029</v>
      </c>
    </row>
    <row r="19" spans="1:24" x14ac:dyDescent="0.3">
      <c r="A19">
        <v>2017</v>
      </c>
      <c r="B19" s="9">
        <v>102.3015677134196</v>
      </c>
      <c r="C19" s="2">
        <v>54367</v>
      </c>
      <c r="D19" s="2">
        <v>342235</v>
      </c>
      <c r="E19" s="10">
        <v>7614523410</v>
      </c>
      <c r="F19" s="1">
        <v>326860</v>
      </c>
      <c r="G19" s="1">
        <v>19612.102999999999</v>
      </c>
      <c r="H19" s="1">
        <v>100</v>
      </c>
      <c r="I19" s="3">
        <v>375897</v>
      </c>
      <c r="J19" s="3">
        <v>4.4931483457844186</v>
      </c>
      <c r="K19" s="3">
        <v>430264</v>
      </c>
      <c r="L19" s="4">
        <f t="shared" si="0"/>
        <v>114.84823976275702</v>
      </c>
      <c r="M19" s="4">
        <f t="shared" si="8"/>
        <v>85.151760237242982</v>
      </c>
      <c r="P19">
        <v>2017</v>
      </c>
      <c r="Q19">
        <f t="shared" si="2"/>
        <v>0.77458016427697352</v>
      </c>
      <c r="R19">
        <f t="shared" si="3"/>
        <v>485291.2807945172</v>
      </c>
      <c r="S19" s="4">
        <f t="shared" si="6"/>
        <v>111.61717063569714</v>
      </c>
      <c r="T19">
        <v>92.283147238868196</v>
      </c>
      <c r="V19">
        <f t="shared" si="7"/>
        <v>0.88660978885829822</v>
      </c>
      <c r="W19">
        <f t="shared" si="4"/>
        <v>2.0298117085255627</v>
      </c>
      <c r="X19" s="4">
        <f t="shared" si="5"/>
        <v>77.080785034069407</v>
      </c>
    </row>
    <row r="20" spans="1:24" x14ac:dyDescent="0.3">
      <c r="A20">
        <v>2018</v>
      </c>
      <c r="B20" s="9">
        <v>108.06281852722168</v>
      </c>
      <c r="C20" s="2">
        <v>56823</v>
      </c>
      <c r="D20" s="2">
        <v>326775</v>
      </c>
      <c r="E20" s="10">
        <v>7697233736</v>
      </c>
      <c r="F20" s="1">
        <v>328794</v>
      </c>
      <c r="G20" s="1">
        <v>20656.516</v>
      </c>
      <c r="H20" s="1">
        <v>102.047</v>
      </c>
      <c r="I20" s="3">
        <v>362041</v>
      </c>
      <c r="J20" s="3">
        <v>4.7614000000000001</v>
      </c>
      <c r="K20" s="3">
        <v>418864</v>
      </c>
      <c r="L20" s="4">
        <f t="shared" si="0"/>
        <v>111.80529419144398</v>
      </c>
      <c r="M20" s="4">
        <f t="shared" si="8"/>
        <v>88.194705808556023</v>
      </c>
      <c r="P20">
        <v>2018</v>
      </c>
      <c r="Q20">
        <f t="shared" si="2"/>
        <v>0.76698188472089623</v>
      </c>
      <c r="R20">
        <f t="shared" si="3"/>
        <v>472033.31292726198</v>
      </c>
      <c r="S20" s="4">
        <f t="shared" si="6"/>
        <v>108.56783321653052</v>
      </c>
      <c r="T20">
        <v>90.264036224472179</v>
      </c>
      <c r="V20">
        <f t="shared" si="7"/>
        <v>0.88736110043264016</v>
      </c>
      <c r="W20">
        <f t="shared" si="4"/>
        <v>2.0197231541551948</v>
      </c>
      <c r="X20" s="4">
        <f t="shared" si="5"/>
        <v>76.697678715655414</v>
      </c>
    </row>
    <row r="21" spans="1:24" x14ac:dyDescent="0.3">
      <c r="A21">
        <v>2019</v>
      </c>
      <c r="B21" s="9">
        <v>112.25717480977376</v>
      </c>
      <c r="C21" s="2">
        <v>50913</v>
      </c>
      <c r="D21" s="2">
        <v>314542</v>
      </c>
      <c r="E21" s="10">
        <v>7778008621</v>
      </c>
      <c r="F21" s="1">
        <v>330513</v>
      </c>
      <c r="G21" s="1">
        <v>21539.982</v>
      </c>
      <c r="H21" s="1">
        <v>103.509</v>
      </c>
      <c r="I21" s="3">
        <v>351625</v>
      </c>
      <c r="J21" s="3">
        <v>4.6081404958677696</v>
      </c>
      <c r="K21" s="3">
        <v>402538</v>
      </c>
      <c r="L21" s="4">
        <f t="shared" si="0"/>
        <v>107.44747582326359</v>
      </c>
      <c r="M21" s="4">
        <f t="shared" si="8"/>
        <v>92.552524176736412</v>
      </c>
      <c r="P21">
        <v>2019</v>
      </c>
      <c r="Q21">
        <f t="shared" si="2"/>
        <v>0.77125968205589723</v>
      </c>
      <c r="R21">
        <f t="shared" si="3"/>
        <v>455909.99786569405</v>
      </c>
      <c r="S21" s="4">
        <f t="shared" si="6"/>
        <v>104.85946490318729</v>
      </c>
      <c r="T21">
        <v>87.550077460243457</v>
      </c>
      <c r="V21">
        <f t="shared" si="7"/>
        <v>0.88293303916222332</v>
      </c>
      <c r="W21">
        <f t="shared" si="4"/>
        <v>2.0800412659060266</v>
      </c>
      <c r="X21" s="4">
        <f t="shared" si="5"/>
        <v>78.98821994467616</v>
      </c>
    </row>
    <row r="22" spans="1:24" x14ac:dyDescent="0.3">
      <c r="A22">
        <v>2020</v>
      </c>
      <c r="B22" s="9">
        <v>110.50793647766113</v>
      </c>
      <c r="C22" s="2">
        <v>31358</v>
      </c>
      <c r="D22" s="2">
        <v>297358</v>
      </c>
      <c r="E22" s="10">
        <v>7854748424</v>
      </c>
      <c r="F22" s="1">
        <v>331840</v>
      </c>
      <c r="G22" s="1">
        <v>21375.281999999999</v>
      </c>
      <c r="H22" s="1">
        <v>104.666</v>
      </c>
      <c r="I22" s="3">
        <v>377990</v>
      </c>
      <c r="J22" s="3">
        <v>5.6760900000000012</v>
      </c>
      <c r="K22" s="3">
        <v>409348</v>
      </c>
      <c r="L22" s="4">
        <f t="shared" si="0"/>
        <v>109.26523541454796</v>
      </c>
      <c r="M22" s="4">
        <f t="shared" si="8"/>
        <v>90.734764585452041</v>
      </c>
      <c r="P22">
        <v>2020</v>
      </c>
      <c r="Q22">
        <f t="shared" si="2"/>
        <v>0.74440901443675067</v>
      </c>
      <c r="R22">
        <f t="shared" si="3"/>
        <v>507771.92735367693</v>
      </c>
      <c r="S22" s="4">
        <f t="shared" si="6"/>
        <v>116.78772749978592</v>
      </c>
      <c r="T22">
        <v>107.31692839785578</v>
      </c>
      <c r="V22">
        <f t="shared" si="7"/>
        <v>0.80616508701726242</v>
      </c>
      <c r="W22">
        <f t="shared" si="4"/>
        <v>3.5517888623292113</v>
      </c>
      <c r="X22" s="4">
        <f t="shared" si="5"/>
        <v>134.8768817490305</v>
      </c>
    </row>
    <row r="23" spans="1:24" x14ac:dyDescent="0.3">
      <c r="A23">
        <v>2021</v>
      </c>
      <c r="B23" s="9">
        <v>117.94894282023112</v>
      </c>
      <c r="C23" s="2">
        <v>34975</v>
      </c>
      <c r="D23" s="2">
        <v>314119</v>
      </c>
      <c r="E23" s="10">
        <v>7920514854</v>
      </c>
      <c r="F23" s="1">
        <v>332505</v>
      </c>
      <c r="G23" s="1">
        <v>23725.646000000001</v>
      </c>
      <c r="H23" s="1">
        <v>108.973</v>
      </c>
      <c r="I23" s="3">
        <v>378467</v>
      </c>
      <c r="J23" s="3">
        <v>7.2427745664739902</v>
      </c>
      <c r="K23" s="3">
        <v>413442</v>
      </c>
      <c r="L23" s="4">
        <f t="shared" si="0"/>
        <v>110.3580265697195</v>
      </c>
      <c r="M23" s="4">
        <f t="shared" si="8"/>
        <v>89.641973430280501</v>
      </c>
      <c r="P23">
        <v>2021</v>
      </c>
      <c r="Q23">
        <f t="shared" si="2"/>
        <v>0.71419393114990859</v>
      </c>
      <c r="R23">
        <f t="shared" si="3"/>
        <v>529921.89305030671</v>
      </c>
      <c r="S23" s="4">
        <f t="shared" si="6"/>
        <v>121.8822276455291</v>
      </c>
      <c r="T23">
        <v>112.68819168993569</v>
      </c>
      <c r="V23">
        <f t="shared" si="7"/>
        <v>0.78019422375657732</v>
      </c>
      <c r="W23">
        <f t="shared" si="4"/>
        <v>4.3062732537205113</v>
      </c>
      <c r="X23" s="4">
        <f t="shared" si="5"/>
        <v>163.52793787415143</v>
      </c>
    </row>
    <row r="24" spans="1:24" x14ac:dyDescent="0.3">
      <c r="A24">
        <v>2022</v>
      </c>
      <c r="B24" s="9">
        <v>115.50069681803386</v>
      </c>
      <c r="C24" s="2">
        <v>34551</v>
      </c>
      <c r="D24" s="2">
        <v>305373</v>
      </c>
      <c r="E24" s="10">
        <v>7989545217</v>
      </c>
      <c r="F24" s="1">
        <v>334372</v>
      </c>
      <c r="G24" s="1">
        <v>26054.614000000001</v>
      </c>
      <c r="H24" s="1">
        <v>116.1</v>
      </c>
      <c r="I24" s="3">
        <v>348145</v>
      </c>
      <c r="J24" s="3">
        <v>7.2008963093145875</v>
      </c>
      <c r="K24" s="3">
        <v>382696</v>
      </c>
      <c r="L24" s="4">
        <f t="shared" si="0"/>
        <v>102.15114897887823</v>
      </c>
      <c r="M24" s="4">
        <f t="shared" si="8"/>
        <v>97.848851021121774</v>
      </c>
      <c r="P24">
        <v>2022</v>
      </c>
      <c r="Q24">
        <f t="shared" si="2"/>
        <v>0.71489833445931716</v>
      </c>
      <c r="R24">
        <f t="shared" si="3"/>
        <v>486985.32814921805</v>
      </c>
      <c r="S24" s="4">
        <f t="shared" si="6"/>
        <v>112.00680214184129</v>
      </c>
      <c r="T24">
        <v>88.186766833755911</v>
      </c>
      <c r="V24">
        <f t="shared" si="7"/>
        <v>0.78584708384220037</v>
      </c>
      <c r="W24">
        <f t="shared" si="4"/>
        <v>4.1272288768587657</v>
      </c>
      <c r="X24" s="4">
        <f t="shared" si="5"/>
        <v>156.72884362000309</v>
      </c>
    </row>
    <row r="25" spans="1:24" x14ac:dyDescent="0.3">
      <c r="A25">
        <v>2023</v>
      </c>
      <c r="B25" s="9">
        <v>117.15745989481609</v>
      </c>
      <c r="C25" s="2">
        <v>44792</v>
      </c>
      <c r="D25" s="2">
        <v>315448</v>
      </c>
      <c r="E25" s="10">
        <v>8064057930</v>
      </c>
      <c r="F25" s="1">
        <v>337141</v>
      </c>
      <c r="G25" s="1">
        <v>27811.517</v>
      </c>
      <c r="H25" s="1">
        <v>120.511</v>
      </c>
      <c r="I25" s="3">
        <v>380148</v>
      </c>
      <c r="J25" s="3">
        <v>4.7430532445923461</v>
      </c>
      <c r="K25" s="3">
        <v>424940</v>
      </c>
      <c r="L25" s="4">
        <f t="shared" si="0"/>
        <v>113.4271307959438</v>
      </c>
      <c r="M25" s="4">
        <f t="shared" si="8"/>
        <v>86.572869204056204</v>
      </c>
      <c r="P25">
        <v>2023</v>
      </c>
      <c r="Q25">
        <f t="shared" si="2"/>
        <v>0.76748543080163178</v>
      </c>
      <c r="R25">
        <f t="shared" si="3"/>
        <v>495316.24281510955</v>
      </c>
      <c r="S25" s="4">
        <f t="shared" si="6"/>
        <v>113.92291553726817</v>
      </c>
      <c r="T25">
        <v>95.964336994422709</v>
      </c>
      <c r="V25">
        <f t="shared" si="7"/>
        <v>0.85791654556868746</v>
      </c>
      <c r="W25">
        <f t="shared" si="4"/>
        <v>2.4632003834625564</v>
      </c>
      <c r="X25" s="4">
        <f t="shared" si="5"/>
        <v>93.538439282839306</v>
      </c>
    </row>
    <row r="26" spans="1:24" x14ac:dyDescent="0.3">
      <c r="A26">
        <v>2024</v>
      </c>
      <c r="B26" s="9">
        <v>115.30511792500813</v>
      </c>
      <c r="C26" s="2">
        <v>38905</v>
      </c>
      <c r="D26" s="2">
        <v>293369</v>
      </c>
      <c r="E26" s="10">
        <v>8141808945</v>
      </c>
      <c r="F26" s="1">
        <v>340212</v>
      </c>
      <c r="G26" s="1">
        <v>29298.012999999999</v>
      </c>
      <c r="H26" s="1">
        <v>123.666</v>
      </c>
      <c r="I26" s="3">
        <v>384705</v>
      </c>
      <c r="J26" s="3">
        <v>4.3227990235964207</v>
      </c>
      <c r="K26" s="3">
        <v>423610</v>
      </c>
      <c r="L26" s="4">
        <f t="shared" si="0"/>
        <v>113.07212047929063</v>
      </c>
      <c r="M26" s="4">
        <f t="shared" si="8"/>
        <v>86.927879520709368</v>
      </c>
      <c r="P26">
        <v>2024</v>
      </c>
      <c r="Q26">
        <f t="shared" si="2"/>
        <v>0.77968637033080779</v>
      </c>
      <c r="R26">
        <f t="shared" si="3"/>
        <v>493409.93332585273</v>
      </c>
      <c r="S26" s="4">
        <f t="shared" si="6"/>
        <v>113.48446366317214</v>
      </c>
      <c r="T26">
        <v>94.660708343773081</v>
      </c>
      <c r="V26">
        <f t="shared" si="7"/>
        <v>0.85853561387513422</v>
      </c>
      <c r="W26">
        <f t="shared" si="4"/>
        <v>2.4527708077239434</v>
      </c>
      <c r="X26" s="4">
        <f t="shared" si="5"/>
        <v>93.142382898826952</v>
      </c>
    </row>
    <row r="27" spans="1:24" x14ac:dyDescent="0.3">
      <c r="A27">
        <v>2025</v>
      </c>
      <c r="B27" s="9">
        <v>117.66338221232097</v>
      </c>
      <c r="C27" s="2">
        <v>51534</v>
      </c>
      <c r="D27" s="2">
        <v>279151</v>
      </c>
      <c r="E27" s="1">
        <f>AVERAGE((E26-E25),(E25-E24),(E24-E23),(E23-E22))+E26</f>
        <v>8213574075.25</v>
      </c>
      <c r="F27" s="1">
        <f t="shared" ref="F27:H27" si="9">AVERAGE((F26-F25),(F25-F24),(F24-F23),(F23-F22))+F26</f>
        <v>342305</v>
      </c>
      <c r="G27" s="1">
        <f t="shared" si="9"/>
        <v>31278.695749999999</v>
      </c>
      <c r="H27" s="1">
        <f t="shared" si="9"/>
        <v>128.416</v>
      </c>
      <c r="I27" s="3">
        <v>413531</v>
      </c>
      <c r="J27" s="3">
        <v>4</v>
      </c>
      <c r="K27" s="3">
        <v>465065</v>
      </c>
      <c r="L27" s="4">
        <f t="shared" si="0"/>
        <v>124.13749843181535</v>
      </c>
      <c r="M27" s="4">
        <f>100-(L27-100)</f>
        <v>75.862501568184655</v>
      </c>
      <c r="P27">
        <v>2025</v>
      </c>
      <c r="Q27">
        <f t="shared" si="2"/>
        <v>0.79004131186337712</v>
      </c>
      <c r="R27">
        <f t="shared" si="3"/>
        <v>523429.59006112389</v>
      </c>
      <c r="S27" s="4">
        <f t="shared" si="6"/>
        <v>120.38899560275291</v>
      </c>
      <c r="T27">
        <v>112.57872752323257</v>
      </c>
      <c r="V27">
        <f t="shared" si="7"/>
        <v>0.88849581458643112</v>
      </c>
      <c r="W27">
        <f t="shared" si="4"/>
        <v>2.004597291624906</v>
      </c>
      <c r="X27" s="4">
        <f t="shared" si="5"/>
        <v>76.123283882255336</v>
      </c>
    </row>
    <row r="28" spans="1:24" x14ac:dyDescent="0.3">
      <c r="I28" s="3">
        <v>413531</v>
      </c>
      <c r="J28" s="3"/>
      <c r="K28" s="3">
        <v>465065</v>
      </c>
      <c r="R28">
        <f>AVERAGE(R2:R27)</f>
        <v>434781.92291617946</v>
      </c>
      <c r="S28" s="4">
        <f>(R28/$R$11)*100</f>
        <v>98.44058270701359</v>
      </c>
      <c r="X28" s="4"/>
    </row>
    <row r="29" spans="1:24" x14ac:dyDescent="0.3">
      <c r="I29" s="3"/>
      <c r="J29" s="3"/>
      <c r="K29" s="3"/>
      <c r="T29">
        <f>CORREL(T11:T27,S11:S27)</f>
        <v>0.7568049709172997</v>
      </c>
    </row>
    <row r="30" spans="1:24" x14ac:dyDescent="0.3">
      <c r="V30">
        <f>CORREL(V2:V27,J2:J27)</f>
        <v>-0.92954898493194849</v>
      </c>
      <c r="W30">
        <f>CORREL(W2:W27,J2:J27)</f>
        <v>0.97634636268227526</v>
      </c>
      <c r="X30">
        <f>CORREL(J2:J27,X2:X27)</f>
        <v>0.97634636268227526</v>
      </c>
    </row>
    <row r="31" spans="1:24" x14ac:dyDescent="0.3">
      <c r="Q31" t="s">
        <v>21</v>
      </c>
      <c r="R31" t="s">
        <v>22</v>
      </c>
      <c r="V31" t="e">
        <f>CORREL(V2:V28,J2:J27)</f>
        <v>#N/A</v>
      </c>
    </row>
    <row r="35" spans="15:30" x14ac:dyDescent="0.3">
      <c r="O35" s="6" t="s">
        <v>59</v>
      </c>
      <c r="Y35" s="6" t="s">
        <v>60</v>
      </c>
    </row>
    <row r="37" spans="15:30" x14ac:dyDescent="0.3">
      <c r="P37" t="s">
        <v>19</v>
      </c>
      <c r="Q37" t="s">
        <v>9</v>
      </c>
      <c r="R37" t="s">
        <v>23</v>
      </c>
      <c r="S37" t="s">
        <v>24</v>
      </c>
      <c r="Z37" t="s">
        <v>30</v>
      </c>
      <c r="AA37" t="s">
        <v>9</v>
      </c>
      <c r="AC37" t="s">
        <v>23</v>
      </c>
      <c r="AD37" t="s">
        <v>24</v>
      </c>
    </row>
    <row r="47" spans="15:30" x14ac:dyDescent="0.3">
      <c r="O47" s="11">
        <v>2009</v>
      </c>
      <c r="P47" s="11">
        <f t="shared" ref="P47:P63" si="10">X11</f>
        <v>100</v>
      </c>
      <c r="Q47" s="11">
        <f>J11</f>
        <v>5.4311965811965814</v>
      </c>
      <c r="R47" s="11">
        <f>0.0323*P47+1.8946</f>
        <v>5.1246000000000009</v>
      </c>
      <c r="S47" s="11">
        <f>(R47-Q47)</f>
        <v>-0.30659658119658051</v>
      </c>
      <c r="Y47" s="11">
        <v>2009</v>
      </c>
      <c r="Z47">
        <f t="shared" ref="Z47:Z63" si="11">C11/I11</f>
        <v>0.13095572319981164</v>
      </c>
      <c r="AA47">
        <f t="shared" ref="AA47:AA63" si="12">J11</f>
        <v>5.4311965811965814</v>
      </c>
      <c r="AC47">
        <f t="shared" ref="AC47:AC62" si="13">-34.762*Z47+9.8197</f>
        <v>5.2674171501281473</v>
      </c>
      <c r="AD47">
        <f t="shared" ref="AD47:AD63" si="14">(AC47-AA47)</f>
        <v>-0.16377943106843418</v>
      </c>
    </row>
    <row r="48" spans="15:30" x14ac:dyDescent="0.3">
      <c r="O48">
        <v>2010</v>
      </c>
      <c r="P48">
        <f t="shared" si="10"/>
        <v>183.36815071690887</v>
      </c>
      <c r="Q48">
        <f t="shared" ref="Q48:Q63" si="15">J12</f>
        <v>7.8673212121212126</v>
      </c>
      <c r="R48" s="11">
        <f t="shared" ref="R48:R63" si="16">0.0323*P48+1.8946</f>
        <v>7.8173912681561575</v>
      </c>
      <c r="S48">
        <f t="shared" ref="S48:S63" si="17">(R48-Q48)</f>
        <v>-4.9929943965055124E-2</v>
      </c>
      <c r="Y48">
        <v>2010</v>
      </c>
      <c r="Z48">
        <f t="shared" si="11"/>
        <v>8.6522864642644623E-2</v>
      </c>
      <c r="AA48">
        <f t="shared" si="12"/>
        <v>7.8673212121212126</v>
      </c>
      <c r="AC48">
        <f t="shared" si="13"/>
        <v>6.8119921792923872</v>
      </c>
      <c r="AD48">
        <f t="shared" si="14"/>
        <v>-1.0553290328288254</v>
      </c>
    </row>
    <row r="49" spans="15:31" x14ac:dyDescent="0.3">
      <c r="O49">
        <v>2011</v>
      </c>
      <c r="P49">
        <f t="shared" si="10"/>
        <v>221.0373559773351</v>
      </c>
      <c r="Q49">
        <f t="shared" si="15"/>
        <v>9.1153918128654965</v>
      </c>
      <c r="R49" s="11">
        <f t="shared" si="16"/>
        <v>9.0341065980679236</v>
      </c>
      <c r="S49">
        <f t="shared" si="17"/>
        <v>-8.1285214797572891E-2</v>
      </c>
      <c r="Y49">
        <v>2011</v>
      </c>
      <c r="Z49">
        <f t="shared" si="11"/>
        <v>7.9234964060090146E-2</v>
      </c>
      <c r="AA49">
        <f t="shared" si="12"/>
        <v>9.1153918128654965</v>
      </c>
      <c r="AC49">
        <f t="shared" si="13"/>
        <v>7.0653341793431457</v>
      </c>
      <c r="AD49">
        <f t="shared" si="14"/>
        <v>-2.0500576335223508</v>
      </c>
    </row>
    <row r="50" spans="15:31" x14ac:dyDescent="0.3">
      <c r="O50">
        <v>2012</v>
      </c>
      <c r="P50">
        <f t="shared" si="10"/>
        <v>245.78372315899787</v>
      </c>
      <c r="Q50">
        <f t="shared" si="15"/>
        <v>9.8552168949771701</v>
      </c>
      <c r="R50" s="11">
        <f t="shared" si="16"/>
        <v>9.8334142580356314</v>
      </c>
      <c r="S50">
        <f t="shared" si="17"/>
        <v>-2.1802636941538722E-2</v>
      </c>
      <c r="Y50">
        <v>2012</v>
      </c>
      <c r="Z50">
        <f t="shared" si="11"/>
        <v>7.4094729289068545E-2</v>
      </c>
      <c r="AA50">
        <f t="shared" si="12"/>
        <v>9.8552168949771701</v>
      </c>
      <c r="AC50">
        <f t="shared" si="13"/>
        <v>7.2440190204533987</v>
      </c>
      <c r="AD50">
        <f t="shared" si="14"/>
        <v>-2.6111978745237714</v>
      </c>
    </row>
    <row r="51" spans="15:31" x14ac:dyDescent="0.3">
      <c r="O51">
        <v>2013</v>
      </c>
      <c r="P51">
        <f t="shared" si="10"/>
        <v>142.58768212318768</v>
      </c>
      <c r="Q51">
        <f t="shared" si="15"/>
        <v>6.2861417322834638</v>
      </c>
      <c r="R51" s="11">
        <f t="shared" si="16"/>
        <v>6.5001821325789617</v>
      </c>
      <c r="S51">
        <f t="shared" si="17"/>
        <v>0.21404040029549787</v>
      </c>
      <c r="Y51">
        <v>2013</v>
      </c>
      <c r="Z51">
        <f t="shared" si="11"/>
        <v>9.1552757232468876E-2</v>
      </c>
      <c r="AA51">
        <f t="shared" si="12"/>
        <v>6.2861417322834638</v>
      </c>
      <c r="AC51">
        <f t="shared" si="13"/>
        <v>6.637143053084916</v>
      </c>
      <c r="AD51">
        <f t="shared" si="14"/>
        <v>0.35100132080145219</v>
      </c>
    </row>
    <row r="52" spans="15:31" x14ac:dyDescent="0.3">
      <c r="O52">
        <v>2014</v>
      </c>
      <c r="P52">
        <f t="shared" si="10"/>
        <v>96.410307389444398</v>
      </c>
      <c r="Q52">
        <f t="shared" si="15"/>
        <v>5.1002200220022011</v>
      </c>
      <c r="R52" s="11">
        <f t="shared" si="16"/>
        <v>5.0086529286790542</v>
      </c>
      <c r="S52">
        <f t="shared" si="17"/>
        <v>-9.1567093323146942E-2</v>
      </c>
      <c r="Y52">
        <v>2014</v>
      </c>
      <c r="Z52">
        <f t="shared" si="11"/>
        <v>0.12590692267607329</v>
      </c>
      <c r="AA52">
        <f t="shared" si="12"/>
        <v>5.1002200220022011</v>
      </c>
      <c r="AC52">
        <f t="shared" si="13"/>
        <v>5.4429235539343397</v>
      </c>
      <c r="AD52">
        <f t="shared" si="14"/>
        <v>0.34270353193213854</v>
      </c>
    </row>
    <row r="53" spans="15:31" x14ac:dyDescent="0.3">
      <c r="O53">
        <v>2015</v>
      </c>
      <c r="P53">
        <f t="shared" si="10"/>
        <v>91.750987243253803</v>
      </c>
      <c r="Q53">
        <f t="shared" si="15"/>
        <v>4.8848056155507571</v>
      </c>
      <c r="R53" s="11">
        <f t="shared" si="16"/>
        <v>4.8581568879570982</v>
      </c>
      <c r="S53">
        <f t="shared" si="17"/>
        <v>-2.6648727593658883E-2</v>
      </c>
      <c r="Y53">
        <v>2015</v>
      </c>
      <c r="Z53">
        <f t="shared" si="11"/>
        <v>0.1271288749052793</v>
      </c>
      <c r="AA53">
        <f t="shared" si="12"/>
        <v>4.8848056155507571</v>
      </c>
      <c r="AC53">
        <f t="shared" si="13"/>
        <v>5.4004460505426799</v>
      </c>
      <c r="AD53">
        <f t="shared" si="14"/>
        <v>0.5156404349919228</v>
      </c>
    </row>
    <row r="54" spans="15:31" x14ac:dyDescent="0.3">
      <c r="O54">
        <v>2016</v>
      </c>
      <c r="P54">
        <f t="shared" si="10"/>
        <v>73.148152016672029</v>
      </c>
      <c r="Q54">
        <f t="shared" si="15"/>
        <v>4.5318406889128093</v>
      </c>
      <c r="R54" s="11">
        <f t="shared" si="16"/>
        <v>4.2572853101385064</v>
      </c>
      <c r="S54">
        <f t="shared" si="17"/>
        <v>-0.27455537877430292</v>
      </c>
      <c r="Y54">
        <v>2016</v>
      </c>
      <c r="Z54">
        <f t="shared" si="11"/>
        <v>0.15655284360571678</v>
      </c>
      <c r="AA54">
        <f t="shared" si="12"/>
        <v>4.5318406889128093</v>
      </c>
      <c r="AC54">
        <f t="shared" si="13"/>
        <v>4.3776100505780722</v>
      </c>
      <c r="AD54">
        <f t="shared" si="14"/>
        <v>-0.15423063833473716</v>
      </c>
    </row>
    <row r="55" spans="15:31" x14ac:dyDescent="0.3">
      <c r="O55">
        <v>2017</v>
      </c>
      <c r="P55">
        <f t="shared" si="10"/>
        <v>77.080785034069407</v>
      </c>
      <c r="Q55">
        <f t="shared" si="15"/>
        <v>4.4931483457844186</v>
      </c>
      <c r="R55" s="11">
        <f t="shared" si="16"/>
        <v>4.3843093566004416</v>
      </c>
      <c r="S55">
        <f t="shared" si="17"/>
        <v>-0.10883898918397694</v>
      </c>
      <c r="Y55">
        <v>2017</v>
      </c>
      <c r="Z55">
        <f t="shared" si="11"/>
        <v>0.14463270523574276</v>
      </c>
      <c r="AA55">
        <f t="shared" si="12"/>
        <v>4.4931483457844186</v>
      </c>
      <c r="AC55">
        <f t="shared" si="13"/>
        <v>4.7919779005951098</v>
      </c>
      <c r="AD55">
        <f t="shared" si="14"/>
        <v>0.29882955481069118</v>
      </c>
    </row>
    <row r="56" spans="15:31" x14ac:dyDescent="0.3">
      <c r="O56">
        <v>2018</v>
      </c>
      <c r="P56">
        <f t="shared" si="10"/>
        <v>76.697678715655414</v>
      </c>
      <c r="Q56">
        <f t="shared" si="15"/>
        <v>4.7614000000000001</v>
      </c>
      <c r="R56" s="11">
        <f t="shared" si="16"/>
        <v>4.3719350225156699</v>
      </c>
      <c r="S56">
        <f t="shared" si="17"/>
        <v>-0.38946497748433018</v>
      </c>
      <c r="Y56">
        <v>2018</v>
      </c>
      <c r="Z56">
        <f t="shared" si="11"/>
        <v>0.15695183694664416</v>
      </c>
      <c r="AA56">
        <f t="shared" si="12"/>
        <v>4.7614000000000001</v>
      </c>
      <c r="AC56">
        <f t="shared" si="13"/>
        <v>4.3637402440607547</v>
      </c>
      <c r="AD56">
        <f t="shared" si="14"/>
        <v>-0.39765975593924541</v>
      </c>
    </row>
    <row r="57" spans="15:31" x14ac:dyDescent="0.3">
      <c r="O57">
        <v>2019</v>
      </c>
      <c r="P57">
        <f t="shared" si="10"/>
        <v>78.98821994467616</v>
      </c>
      <c r="Q57">
        <f t="shared" si="15"/>
        <v>4.6081404958677696</v>
      </c>
      <c r="R57" s="11">
        <f t="shared" si="16"/>
        <v>4.4459195042130402</v>
      </c>
      <c r="S57">
        <f t="shared" si="17"/>
        <v>-0.16222099165472947</v>
      </c>
      <c r="Y57">
        <v>2019</v>
      </c>
      <c r="Z57">
        <f t="shared" si="11"/>
        <v>0.14479345894063278</v>
      </c>
      <c r="AA57">
        <f t="shared" si="12"/>
        <v>4.6081404958677696</v>
      </c>
      <c r="AC57">
        <f t="shared" si="13"/>
        <v>4.786389780305722</v>
      </c>
      <c r="AD57">
        <f t="shared" si="14"/>
        <v>0.1782492844379524</v>
      </c>
    </row>
    <row r="58" spans="15:31" x14ac:dyDescent="0.3">
      <c r="O58">
        <v>2020</v>
      </c>
      <c r="P58">
        <f t="shared" si="10"/>
        <v>134.8768817490305</v>
      </c>
      <c r="Q58">
        <f t="shared" si="15"/>
        <v>5.6760900000000012</v>
      </c>
      <c r="R58" s="11">
        <f t="shared" si="16"/>
        <v>6.2511232804936849</v>
      </c>
      <c r="S58">
        <f t="shared" si="17"/>
        <v>0.57503328049368374</v>
      </c>
      <c r="Y58">
        <v>2020</v>
      </c>
      <c r="Z58">
        <f t="shared" si="11"/>
        <v>8.2959866663139231E-2</v>
      </c>
      <c r="AA58">
        <f t="shared" si="12"/>
        <v>5.6760900000000012</v>
      </c>
      <c r="AC58">
        <f t="shared" si="13"/>
        <v>6.9358491150559534</v>
      </c>
      <c r="AD58">
        <f t="shared" si="14"/>
        <v>1.2597591150559522</v>
      </c>
    </row>
    <row r="59" spans="15:31" x14ac:dyDescent="0.3">
      <c r="O59">
        <v>2021</v>
      </c>
      <c r="P59">
        <f t="shared" si="10"/>
        <v>163.52793787415143</v>
      </c>
      <c r="Q59">
        <f t="shared" si="15"/>
        <v>7.2427745664739902</v>
      </c>
      <c r="R59" s="11">
        <f t="shared" si="16"/>
        <v>7.1765523933350917</v>
      </c>
      <c r="S59">
        <f t="shared" si="17"/>
        <v>-6.6222173138898555E-2</v>
      </c>
      <c r="Y59">
        <v>2021</v>
      </c>
      <c r="Z59">
        <f t="shared" si="11"/>
        <v>9.2412284294271368E-2</v>
      </c>
      <c r="AA59">
        <f t="shared" si="12"/>
        <v>7.2427745664739902</v>
      </c>
      <c r="AC59">
        <f t="shared" si="13"/>
        <v>6.6072641733625375</v>
      </c>
      <c r="AD59">
        <f t="shared" si="14"/>
        <v>-0.63551039311145274</v>
      </c>
    </row>
    <row r="60" spans="15:31" x14ac:dyDescent="0.3">
      <c r="O60">
        <v>2022</v>
      </c>
      <c r="P60">
        <f t="shared" si="10"/>
        <v>156.72884362000309</v>
      </c>
      <c r="Q60">
        <f t="shared" si="15"/>
        <v>7.2008963093145875</v>
      </c>
      <c r="R60" s="11">
        <f t="shared" si="16"/>
        <v>6.9569416489261009</v>
      </c>
      <c r="S60">
        <f t="shared" si="17"/>
        <v>-0.24395466038848657</v>
      </c>
      <c r="Y60">
        <v>2022</v>
      </c>
      <c r="Z60">
        <f t="shared" si="11"/>
        <v>9.9243131453848249E-2</v>
      </c>
      <c r="AA60">
        <f t="shared" si="12"/>
        <v>7.2008963093145875</v>
      </c>
      <c r="AC60">
        <f t="shared" si="13"/>
        <v>6.3698102644013268</v>
      </c>
      <c r="AD60">
        <f t="shared" si="14"/>
        <v>-0.83108604491326066</v>
      </c>
    </row>
    <row r="61" spans="15:31" x14ac:dyDescent="0.3">
      <c r="O61">
        <v>2023</v>
      </c>
      <c r="P61">
        <f t="shared" si="10"/>
        <v>93.538439282839306</v>
      </c>
      <c r="Q61">
        <f t="shared" si="15"/>
        <v>4.7430532445923461</v>
      </c>
      <c r="R61" s="11">
        <f t="shared" si="16"/>
        <v>4.9158915888357093</v>
      </c>
      <c r="S61">
        <f t="shared" si="17"/>
        <v>0.1728383442433632</v>
      </c>
      <c r="Y61">
        <v>2023</v>
      </c>
      <c r="Z61">
        <f t="shared" si="11"/>
        <v>0.11782779338573397</v>
      </c>
      <c r="AA61">
        <f t="shared" si="12"/>
        <v>4.7430532445923461</v>
      </c>
      <c r="AC61">
        <f t="shared" si="13"/>
        <v>5.723770246325115</v>
      </c>
      <c r="AD61">
        <f t="shared" si="14"/>
        <v>0.98071700173276888</v>
      </c>
    </row>
    <row r="62" spans="15:31" x14ac:dyDescent="0.3">
      <c r="O62">
        <v>2024</v>
      </c>
      <c r="P62">
        <f t="shared" si="10"/>
        <v>93.142382898826952</v>
      </c>
      <c r="Q62">
        <f t="shared" si="15"/>
        <v>4.3227990235964207</v>
      </c>
      <c r="R62" s="11">
        <f>0.0323*P62+1.8946</f>
        <v>4.9030989676321113</v>
      </c>
      <c r="S62">
        <f t="shared" si="17"/>
        <v>0.58029994403569063</v>
      </c>
      <c r="Y62">
        <v>2024</v>
      </c>
      <c r="Z62">
        <f t="shared" si="11"/>
        <v>0.101129436841216</v>
      </c>
      <c r="AA62">
        <f t="shared" si="12"/>
        <v>4.3227990235964207</v>
      </c>
      <c r="AC62">
        <f t="shared" si="13"/>
        <v>6.3042385165256487</v>
      </c>
      <c r="AD62">
        <f t="shared" si="14"/>
        <v>1.9814394929292281</v>
      </c>
    </row>
    <row r="63" spans="15:31" x14ac:dyDescent="0.3">
      <c r="O63">
        <v>2025</v>
      </c>
      <c r="P63">
        <f t="shared" si="10"/>
        <v>76.123283882255336</v>
      </c>
      <c r="Q63">
        <f t="shared" si="15"/>
        <v>4</v>
      </c>
      <c r="R63" s="11">
        <f t="shared" si="16"/>
        <v>4.3533820693968472</v>
      </c>
      <c r="S63">
        <f t="shared" si="17"/>
        <v>0.35338206939684724</v>
      </c>
      <c r="T63" s="13" t="s">
        <v>28</v>
      </c>
      <c r="Y63">
        <v>2025</v>
      </c>
      <c r="Z63">
        <f t="shared" si="11"/>
        <v>0.12461943602777059</v>
      </c>
      <c r="AA63">
        <f t="shared" si="12"/>
        <v>4</v>
      </c>
      <c r="AC63">
        <f>-34.762*Z63+9.8197</f>
        <v>5.4876791648026382</v>
      </c>
      <c r="AD63">
        <f t="shared" si="14"/>
        <v>1.4876791648026382</v>
      </c>
      <c r="AE63" s="13" t="s">
        <v>28</v>
      </c>
    </row>
    <row r="64" spans="15:31" x14ac:dyDescent="0.3">
      <c r="S64" cm="1">
        <f t="array" ref="S64">SUM(ABS(S38:S63))</f>
        <v>3.7186814069073604</v>
      </c>
      <c r="T64" s="13">
        <f>S64/COUNT(O38:O63)</f>
        <v>0.21874596511219768</v>
      </c>
      <c r="AD64" cm="1">
        <f t="array" ref="AD64">SUM(ABS(AD38:AD63))</f>
        <v>15.294869705736822</v>
      </c>
      <c r="AE64" s="13">
        <f>AD64/COUNT(Z38:Z63)</f>
        <v>0.89969821798451899</v>
      </c>
    </row>
    <row r="67" spans="13:31" x14ac:dyDescent="0.3">
      <c r="P67" t="s">
        <v>25</v>
      </c>
      <c r="Q67" t="s">
        <v>26</v>
      </c>
      <c r="R67" t="s">
        <v>27</v>
      </c>
    </row>
    <row r="68" spans="13:31" x14ac:dyDescent="0.3">
      <c r="P68" s="12">
        <v>4.3499999999999996</v>
      </c>
      <c r="Q68" s="12">
        <v>3.5</v>
      </c>
      <c r="R68" s="12">
        <v>6.1528824538271838</v>
      </c>
    </row>
    <row r="71" spans="13:31" x14ac:dyDescent="0.3">
      <c r="O71" s="6" t="s">
        <v>61</v>
      </c>
      <c r="Y71" t="s">
        <v>63</v>
      </c>
      <c r="AA71" s="6" t="s">
        <v>64</v>
      </c>
    </row>
    <row r="72" spans="13:31" x14ac:dyDescent="0.3">
      <c r="M72" t="s">
        <v>62</v>
      </c>
      <c r="P72" t="s">
        <v>44</v>
      </c>
      <c r="Q72" t="s">
        <v>9</v>
      </c>
      <c r="S72" t="s">
        <v>24</v>
      </c>
      <c r="AB72" t="s">
        <v>44</v>
      </c>
      <c r="AC72" t="s">
        <v>9</v>
      </c>
      <c r="AE72" t="s">
        <v>24</v>
      </c>
    </row>
    <row r="73" spans="13:31" x14ac:dyDescent="0.3">
      <c r="M73">
        <v>100.0825</v>
      </c>
      <c r="O73" s="11">
        <v>2009</v>
      </c>
      <c r="P73">
        <f t="shared" ref="P73:P89" si="18">((((K11/((M73/100)*$R$11))^$O$2)/$W$11)*100)*0.0323+1.8946</f>
        <v>5.1403066027135491</v>
      </c>
      <c r="Q73">
        <f t="shared" ref="Q73:Q89" si="19">J11</f>
        <v>5.4311965811965814</v>
      </c>
      <c r="S73">
        <f t="shared" ref="S73:S89" si="20">Q73-P73</f>
        <v>0.29088997848303233</v>
      </c>
      <c r="Y73">
        <v>8.0630000000000024</v>
      </c>
      <c r="Z73">
        <f t="shared" ref="Z73:Z89" si="21">M73+IF(Y73&lt;0,$Y$92,$Y$95)</f>
        <v>106.13247238396043</v>
      </c>
      <c r="AA73" s="11">
        <v>2009</v>
      </c>
      <c r="AB73">
        <f t="shared" ref="AB73:AB89" si="22">((((K11/((Z73/100)*$R$11))^$O$2)/$W$11)*100)*0.0323+1.8946</f>
        <v>6.4786699510447487</v>
      </c>
      <c r="AC73">
        <f t="shared" ref="AC73:AC89" si="23">J11</f>
        <v>5.4311965811965814</v>
      </c>
      <c r="AE73">
        <f t="shared" ref="AE73:AE89" si="24">AC73-AB73</f>
        <v>-1.0474733698481673</v>
      </c>
    </row>
    <row r="74" spans="13:31" x14ac:dyDescent="0.3">
      <c r="M74">
        <v>101.06099999999999</v>
      </c>
      <c r="O74">
        <v>2010</v>
      </c>
      <c r="P74">
        <f t="shared" si="18"/>
        <v>6.2607660331557007</v>
      </c>
      <c r="Q74">
        <f t="shared" si="19"/>
        <v>7.8673212121212126</v>
      </c>
      <c r="S74">
        <f t="shared" si="20"/>
        <v>1.6065551789655119</v>
      </c>
      <c r="Y74">
        <v>12.642537402455361</v>
      </c>
      <c r="Z74">
        <f t="shared" si="21"/>
        <v>107.11097238396043</v>
      </c>
      <c r="AA74">
        <v>2010</v>
      </c>
      <c r="AB74">
        <f t="shared" si="22"/>
        <v>8.0411559481234072</v>
      </c>
      <c r="AC74">
        <f t="shared" si="23"/>
        <v>7.8673212121212126</v>
      </c>
      <c r="AE74">
        <f t="shared" si="24"/>
        <v>-0.17383473600219457</v>
      </c>
    </row>
    <row r="75" spans="13:31" x14ac:dyDescent="0.3">
      <c r="M75">
        <v>102.0395</v>
      </c>
      <c r="O75">
        <v>2011</v>
      </c>
      <c r="P75">
        <f t="shared" si="18"/>
        <v>8.0932126724694839</v>
      </c>
      <c r="Q75">
        <f t="shared" si="19"/>
        <v>9.1153918128654965</v>
      </c>
      <c r="S75">
        <f t="shared" si="20"/>
        <v>1.0221791403960125</v>
      </c>
      <c r="Y75">
        <v>8.866989568932155</v>
      </c>
      <c r="Z75">
        <f t="shared" si="21"/>
        <v>108.08947238396044</v>
      </c>
      <c r="AA75">
        <v>2011</v>
      </c>
      <c r="AB75">
        <f t="shared" si="22"/>
        <v>10.593052578142299</v>
      </c>
      <c r="AC75">
        <f t="shared" si="23"/>
        <v>9.1153918128654965</v>
      </c>
      <c r="AE75">
        <f t="shared" si="24"/>
        <v>-1.4776607652768021</v>
      </c>
    </row>
    <row r="76" spans="13:31" x14ac:dyDescent="0.3">
      <c r="M76">
        <v>103.018</v>
      </c>
      <c r="O76">
        <v>2012</v>
      </c>
      <c r="P76">
        <f t="shared" si="18"/>
        <v>15.464762120548579</v>
      </c>
      <c r="Q76">
        <f t="shared" si="19"/>
        <v>9.8552168949771701</v>
      </c>
      <c r="S76">
        <f t="shared" si="20"/>
        <v>-5.6095452255714093</v>
      </c>
      <c r="Y76">
        <v>-3.4676782128411787</v>
      </c>
      <c r="Z76">
        <f t="shared" si="21"/>
        <v>98.564164099625373</v>
      </c>
      <c r="AA76">
        <v>2012</v>
      </c>
      <c r="AB76">
        <f t="shared" si="22"/>
        <v>12.35814233093094</v>
      </c>
      <c r="AC76">
        <f t="shared" si="23"/>
        <v>9.8552168949771701</v>
      </c>
      <c r="AE76">
        <f t="shared" si="24"/>
        <v>-2.5029254359537703</v>
      </c>
    </row>
    <row r="77" spans="13:31" x14ac:dyDescent="0.3">
      <c r="M77">
        <v>103.9965</v>
      </c>
      <c r="O77">
        <v>2013</v>
      </c>
      <c r="P77">
        <f t="shared" si="18"/>
        <v>6.0625708757755703</v>
      </c>
      <c r="Q77">
        <f t="shared" si="19"/>
        <v>6.2861417322834638</v>
      </c>
      <c r="S77">
        <f t="shared" si="20"/>
        <v>0.22357085650789355</v>
      </c>
      <c r="Y77">
        <v>6.4064719972506339</v>
      </c>
      <c r="Z77">
        <f t="shared" si="21"/>
        <v>110.04647238396043</v>
      </c>
      <c r="AA77">
        <v>2013</v>
      </c>
      <c r="AB77">
        <f t="shared" si="22"/>
        <v>7.7073277475247473</v>
      </c>
      <c r="AC77">
        <f t="shared" si="23"/>
        <v>6.2861417322834638</v>
      </c>
      <c r="AE77">
        <f t="shared" si="24"/>
        <v>-1.4211860152412834</v>
      </c>
    </row>
    <row r="78" spans="13:31" x14ac:dyDescent="0.3">
      <c r="M78">
        <v>104.97499999999999</v>
      </c>
      <c r="O78">
        <v>2014</v>
      </c>
      <c r="P78">
        <f t="shared" si="18"/>
        <v>5.1266874300999401</v>
      </c>
      <c r="Q78">
        <f t="shared" si="19"/>
        <v>5.1002200220022011</v>
      </c>
      <c r="S78">
        <f t="shared" si="20"/>
        <v>-2.6467408097738954E-2</v>
      </c>
      <c r="Y78">
        <v>3.0846774605976464</v>
      </c>
      <c r="Z78">
        <f t="shared" si="21"/>
        <v>111.02497238396043</v>
      </c>
      <c r="AA78">
        <v>2014</v>
      </c>
      <c r="AB78">
        <f t="shared" si="22"/>
        <v>6.3885571464120172</v>
      </c>
      <c r="AC78">
        <f t="shared" si="23"/>
        <v>5.1002200220022011</v>
      </c>
      <c r="AE78">
        <f t="shared" si="24"/>
        <v>-1.2883371244098161</v>
      </c>
    </row>
    <row r="79" spans="13:31" x14ac:dyDescent="0.3">
      <c r="M79">
        <v>105.95350000000001</v>
      </c>
      <c r="O79">
        <v>2015</v>
      </c>
      <c r="P79">
        <f t="shared" si="18"/>
        <v>5.4138250998128168</v>
      </c>
      <c r="Q79">
        <f t="shared" si="19"/>
        <v>4.8848056155507571</v>
      </c>
      <c r="S79">
        <f t="shared" si="20"/>
        <v>-0.52901948426205969</v>
      </c>
      <c r="Y79">
        <v>-0.18391160509375482</v>
      </c>
      <c r="Z79">
        <f t="shared" si="21"/>
        <v>101.49966409962539</v>
      </c>
      <c r="AA79">
        <v>2015</v>
      </c>
      <c r="AB79">
        <f t="shared" si="22"/>
        <v>4.6282130046017524</v>
      </c>
      <c r="AC79">
        <f t="shared" si="23"/>
        <v>4.8848056155507571</v>
      </c>
      <c r="AE79">
        <f t="shared" si="24"/>
        <v>0.25659261094900465</v>
      </c>
    </row>
    <row r="80" spans="13:31" x14ac:dyDescent="0.3">
      <c r="M80">
        <v>106.932</v>
      </c>
      <c r="O80">
        <v>2016</v>
      </c>
      <c r="P80">
        <f t="shared" si="18"/>
        <v>4.0141082551645502</v>
      </c>
      <c r="Q80">
        <f t="shared" si="19"/>
        <v>4.5318406889128093</v>
      </c>
      <c r="S80">
        <f t="shared" si="20"/>
        <v>0.51773243374825917</v>
      </c>
      <c r="Y80">
        <v>3.9796872599302304</v>
      </c>
      <c r="Z80">
        <f t="shared" si="21"/>
        <v>112.98197238396044</v>
      </c>
      <c r="AA80">
        <v>2016</v>
      </c>
      <c r="AB80">
        <f t="shared" si="22"/>
        <v>4.8243593596722985</v>
      </c>
      <c r="AC80">
        <f t="shared" si="23"/>
        <v>4.5318406889128093</v>
      </c>
      <c r="AE80">
        <f t="shared" si="24"/>
        <v>-0.29251867075948912</v>
      </c>
    </row>
    <row r="81" spans="13:32" x14ac:dyDescent="0.3">
      <c r="M81">
        <v>107.9105</v>
      </c>
      <c r="O81">
        <v>2017</v>
      </c>
      <c r="P81">
        <f t="shared" si="18"/>
        <v>4.1334360739934439</v>
      </c>
      <c r="Q81">
        <f t="shared" si="19"/>
        <v>4.4931483457844186</v>
      </c>
      <c r="S81">
        <f t="shared" si="20"/>
        <v>0.35971227179097465</v>
      </c>
      <c r="Y81">
        <v>3.073193174861899</v>
      </c>
      <c r="Z81">
        <f t="shared" si="21"/>
        <v>113.96047238396044</v>
      </c>
      <c r="AA81">
        <v>2017</v>
      </c>
      <c r="AB81">
        <f t="shared" si="22"/>
        <v>4.9804754250246104</v>
      </c>
      <c r="AC81">
        <f t="shared" si="23"/>
        <v>4.4931483457844186</v>
      </c>
      <c r="AE81">
        <f t="shared" si="24"/>
        <v>-0.48732707924019181</v>
      </c>
    </row>
    <row r="82" spans="13:32" x14ac:dyDescent="0.3">
      <c r="M82">
        <v>108.889</v>
      </c>
      <c r="O82">
        <v>2018</v>
      </c>
      <c r="P82">
        <f t="shared" si="18"/>
        <v>4.6595212212798733</v>
      </c>
      <c r="Q82">
        <f t="shared" si="19"/>
        <v>4.7614000000000001</v>
      </c>
      <c r="S82">
        <f t="shared" si="20"/>
        <v>0.10187877872012674</v>
      </c>
      <c r="Y82">
        <v>-1.7868923492686974</v>
      </c>
      <c r="Z82">
        <f t="shared" si="21"/>
        <v>104.43516409962538</v>
      </c>
      <c r="AA82">
        <v>2018</v>
      </c>
      <c r="AB82">
        <f t="shared" si="22"/>
        <v>4.0572837700278015</v>
      </c>
      <c r="AC82">
        <f t="shared" si="23"/>
        <v>4.7614000000000001</v>
      </c>
      <c r="AE82">
        <f t="shared" si="24"/>
        <v>0.70411622997219858</v>
      </c>
    </row>
    <row r="83" spans="13:32" x14ac:dyDescent="0.3">
      <c r="M83">
        <v>109.86750000000001</v>
      </c>
      <c r="O83">
        <v>2019</v>
      </c>
      <c r="P83">
        <f t="shared" si="18"/>
        <v>5.5767601135078433</v>
      </c>
      <c r="Q83">
        <f t="shared" si="19"/>
        <v>4.6081404958677696</v>
      </c>
      <c r="S83">
        <f t="shared" si="20"/>
        <v>-0.96861961764007365</v>
      </c>
      <c r="Y83">
        <v>-7.2957317258460535</v>
      </c>
      <c r="Z83">
        <f t="shared" si="21"/>
        <v>105.41366409962538</v>
      </c>
      <c r="AA83">
        <v>2019</v>
      </c>
      <c r="AB83">
        <f t="shared" si="22"/>
        <v>4.7811764429662764</v>
      </c>
      <c r="AC83">
        <f t="shared" si="23"/>
        <v>4.6081404958677696</v>
      </c>
      <c r="AE83">
        <f t="shared" si="24"/>
        <v>-0.17303594709850678</v>
      </c>
    </row>
    <row r="84" spans="13:32" x14ac:dyDescent="0.3">
      <c r="M84">
        <v>110.846</v>
      </c>
      <c r="O84">
        <v>2020</v>
      </c>
      <c r="P84">
        <f t="shared" si="18"/>
        <v>5.4093687578033585</v>
      </c>
      <c r="Q84">
        <f t="shared" si="19"/>
        <v>5.6760900000000012</v>
      </c>
      <c r="S84">
        <f t="shared" si="20"/>
        <v>0.26672124219664273</v>
      </c>
      <c r="Y84">
        <v>2.5882194810684069</v>
      </c>
      <c r="Z84">
        <f t="shared" si="21"/>
        <v>116.89597238396044</v>
      </c>
      <c r="AA84">
        <v>2020</v>
      </c>
      <c r="AB84">
        <f t="shared" si="22"/>
        <v>6.6992156616751135</v>
      </c>
      <c r="AC84">
        <f t="shared" si="23"/>
        <v>5.6760900000000012</v>
      </c>
      <c r="AE84">
        <f t="shared" si="24"/>
        <v>-1.0231256616751123</v>
      </c>
    </row>
    <row r="85" spans="13:32" x14ac:dyDescent="0.3">
      <c r="M85">
        <v>111.8245</v>
      </c>
      <c r="O85">
        <v>2021</v>
      </c>
      <c r="P85">
        <f t="shared" si="18"/>
        <v>5.3854105701274548</v>
      </c>
      <c r="Q85">
        <f t="shared" si="19"/>
        <v>7.2427745664739902</v>
      </c>
      <c r="S85">
        <f t="shared" si="20"/>
        <v>1.8573639963465354</v>
      </c>
      <c r="Y85">
        <v>5.7449751105476423</v>
      </c>
      <c r="Z85">
        <f t="shared" si="21"/>
        <v>117.87447238396044</v>
      </c>
      <c r="AA85">
        <v>2021</v>
      </c>
      <c r="AB85">
        <f t="shared" si="22"/>
        <v>6.6537672736675546</v>
      </c>
      <c r="AC85">
        <f t="shared" si="23"/>
        <v>7.2427745664739902</v>
      </c>
      <c r="AE85">
        <f t="shared" si="24"/>
        <v>0.5890072928064356</v>
      </c>
    </row>
    <row r="86" spans="13:32" x14ac:dyDescent="0.3">
      <c r="M86">
        <v>112.803</v>
      </c>
      <c r="O86">
        <v>2022</v>
      </c>
      <c r="P86">
        <f t="shared" si="18"/>
        <v>7.6835387922159661</v>
      </c>
      <c r="Q86">
        <f t="shared" si="19"/>
        <v>7.2008963093145875</v>
      </c>
      <c r="S86">
        <f t="shared" si="20"/>
        <v>-0.48264248290137868</v>
      </c>
      <c r="Y86">
        <v>-5.8347513000796596</v>
      </c>
      <c r="Z86">
        <f t="shared" si="21"/>
        <v>108.34916409962537</v>
      </c>
      <c r="AA86">
        <v>2022</v>
      </c>
      <c r="AB86">
        <f t="shared" si="22"/>
        <v>6.4621855939237118</v>
      </c>
      <c r="AC86">
        <f t="shared" si="23"/>
        <v>7.2008963093145875</v>
      </c>
      <c r="AE86">
        <f t="shared" si="24"/>
        <v>0.73871071539087563</v>
      </c>
    </row>
    <row r="87" spans="13:32" x14ac:dyDescent="0.3">
      <c r="M87">
        <v>113.78149999999999</v>
      </c>
      <c r="O87">
        <v>2023</v>
      </c>
      <c r="P87">
        <f t="shared" si="18"/>
        <v>5.184414382853106</v>
      </c>
      <c r="Q87">
        <f t="shared" si="19"/>
        <v>4.7430532445923461</v>
      </c>
      <c r="S87">
        <f t="shared" si="20"/>
        <v>-0.44136113826075984</v>
      </c>
      <c r="Y87">
        <v>-5.8068181082942942</v>
      </c>
      <c r="Z87">
        <f t="shared" si="21"/>
        <v>109.32766409962537</v>
      </c>
      <c r="AA87">
        <v>2023</v>
      </c>
      <c r="AB87">
        <f t="shared" si="22"/>
        <v>4.4957300522588106</v>
      </c>
      <c r="AC87">
        <f t="shared" si="23"/>
        <v>4.7430532445923461</v>
      </c>
      <c r="AE87">
        <f t="shared" si="24"/>
        <v>0.2473231923335355</v>
      </c>
    </row>
    <row r="88" spans="13:32" x14ac:dyDescent="0.3">
      <c r="M88">
        <v>114.76</v>
      </c>
      <c r="O88">
        <v>2024</v>
      </c>
      <c r="P88">
        <f t="shared" si="18"/>
        <v>5.4187588865014042</v>
      </c>
      <c r="Q88">
        <f t="shared" si="19"/>
        <v>4.3227990235964207</v>
      </c>
      <c r="S88">
        <f t="shared" si="20"/>
        <v>-1.0959598629049836</v>
      </c>
      <c r="Y88">
        <v>-8.0967326880442698</v>
      </c>
      <c r="Z88">
        <f t="shared" si="21"/>
        <v>110.30616409962539</v>
      </c>
      <c r="AA88">
        <v>2024</v>
      </c>
      <c r="AB88">
        <f t="shared" si="22"/>
        <v>4.6867154925399577</v>
      </c>
      <c r="AC88">
        <f t="shared" si="23"/>
        <v>4.3227990235964207</v>
      </c>
      <c r="AE88">
        <f t="shared" si="24"/>
        <v>-0.36391646894353702</v>
      </c>
    </row>
    <row r="89" spans="13:32" ht="16.2" thickBot="1" x14ac:dyDescent="0.35">
      <c r="M89">
        <v>115.7385</v>
      </c>
      <c r="O89">
        <v>2025</v>
      </c>
      <c r="P89">
        <f t="shared" si="18"/>
        <v>4.0337001150263525</v>
      </c>
      <c r="Q89">
        <f t="shared" si="19"/>
        <v>4</v>
      </c>
      <c r="S89">
        <f t="shared" si="20"/>
        <v>-3.3700115026352506E-2</v>
      </c>
      <c r="T89" s="13" t="s">
        <v>28</v>
      </c>
      <c r="Y89">
        <v>-3.1581712135290587</v>
      </c>
      <c r="Z89">
        <f t="shared" si="21"/>
        <v>111.28466409962539</v>
      </c>
      <c r="AA89">
        <v>2025</v>
      </c>
      <c r="AB89">
        <f t="shared" si="22"/>
        <v>3.5927690964310655</v>
      </c>
      <c r="AC89">
        <f t="shared" si="23"/>
        <v>4</v>
      </c>
      <c r="AE89">
        <f t="shared" si="24"/>
        <v>0.40723090356893454</v>
      </c>
      <c r="AF89" s="13" t="s">
        <v>28</v>
      </c>
    </row>
    <row r="90" spans="13:32" x14ac:dyDescent="0.3">
      <c r="S90" cm="1">
        <f t="array" ref="S90">SUM(ABS(S73:S89))</f>
        <v>15.433919211819745</v>
      </c>
      <c r="T90" s="13">
        <f>S90/COUNT(O73:O89)</f>
        <v>0.90787760069527912</v>
      </c>
      <c r="Y90" s="49">
        <f>COUNTIF(Y73:Y89, "&lt;0")</f>
        <v>8</v>
      </c>
      <c r="AE90" cm="1">
        <f t="array" ref="AE90">SUM(ABS(AE73:AE89))</f>
        <v>13.194322219469854</v>
      </c>
      <c r="AF90" s="13">
        <f>AE90/COUNT(AA73:AA89)</f>
        <v>0.77613660114528549</v>
      </c>
    </row>
    <row r="91" spans="13:32" x14ac:dyDescent="0.3">
      <c r="Y91" s="50">
        <f>SUMIF(Y73:Y89, "&lt;0")</f>
        <v>-35.630687202996967</v>
      </c>
    </row>
    <row r="92" spans="13:32" x14ac:dyDescent="0.3">
      <c r="Y92" s="51">
        <f>Y91/Y90</f>
        <v>-4.4538359003746208</v>
      </c>
    </row>
    <row r="93" spans="13:32" x14ac:dyDescent="0.3">
      <c r="Y93" s="50">
        <f>COUNTIF(Y73:Y89, "&gt;0")</f>
        <v>9</v>
      </c>
    </row>
    <row r="94" spans="13:32" x14ac:dyDescent="0.3">
      <c r="Y94" s="50">
        <f>SUMIF(Y73:Y89, "&gt;0")</f>
        <v>54.449751455643977</v>
      </c>
    </row>
    <row r="95" spans="13:32" ht="16.2" thickBot="1" x14ac:dyDescent="0.35">
      <c r="Y95" s="52">
        <f>Y94/Y93</f>
        <v>6.0499723839604416</v>
      </c>
    </row>
    <row r="97" spans="12:19" x14ac:dyDescent="0.3">
      <c r="O97" s="6" t="s">
        <v>81</v>
      </c>
    </row>
    <row r="98" spans="12:19" x14ac:dyDescent="0.3">
      <c r="L98" t="s">
        <v>82</v>
      </c>
      <c r="M98" t="s">
        <v>62</v>
      </c>
      <c r="P98" t="s">
        <v>44</v>
      </c>
      <c r="Q98" t="s">
        <v>9</v>
      </c>
      <c r="S98" t="s">
        <v>24</v>
      </c>
    </row>
    <row r="99" spans="12:19" x14ac:dyDescent="0.3">
      <c r="L99">
        <v>3.7286082084815462</v>
      </c>
      <c r="M99">
        <v>100.0825</v>
      </c>
      <c r="N99">
        <f>M99+L99</f>
        <v>103.81110820848154</v>
      </c>
      <c r="O99" s="11">
        <v>2009</v>
      </c>
      <c r="P99">
        <f>((((K11/((N99/100)*$R$11))^$O$2)/$W$11)*100)*0.0323+1.8946</f>
        <v>5.9194940017375455</v>
      </c>
      <c r="Q99">
        <f>J11</f>
        <v>5.4311965811965814</v>
      </c>
      <c r="S99">
        <f t="shared" ref="S99:S115" si="25">Q99-P99</f>
        <v>-0.48829742054096403</v>
      </c>
    </row>
    <row r="100" spans="12:19" x14ac:dyDescent="0.3">
      <c r="L100">
        <v>2.6860640028559928</v>
      </c>
      <c r="M100">
        <v>101.06099999999999</v>
      </c>
      <c r="N100">
        <f t="shared" ref="N100:N114" si="26">M100+L100</f>
        <v>103.74706400285598</v>
      </c>
      <c r="O100">
        <v>2010</v>
      </c>
      <c r="P100">
        <f t="shared" ref="P100:P115" si="27">((((K12/((N100/100)*$R$11))^$O$2)/$W$11)*100)*0.0323+1.8946</f>
        <v>6.9892379775501308</v>
      </c>
      <c r="Q100">
        <f t="shared" ref="Q100:Q115" si="28">J12</f>
        <v>7.8673212121212126</v>
      </c>
      <c r="S100">
        <f t="shared" si="25"/>
        <v>0.87808323457108184</v>
      </c>
    </row>
    <row r="101" spans="12:19" x14ac:dyDescent="0.3">
      <c r="L101">
        <v>-0.43103520061641376</v>
      </c>
      <c r="M101">
        <v>102.0395</v>
      </c>
      <c r="N101">
        <f t="shared" si="26"/>
        <v>101.6084647993836</v>
      </c>
      <c r="O101">
        <v>2011</v>
      </c>
      <c r="P101">
        <f t="shared" si="27"/>
        <v>7.9407677536328656</v>
      </c>
      <c r="Q101">
        <f t="shared" si="28"/>
        <v>9.1153918128654965</v>
      </c>
      <c r="S101">
        <f t="shared" si="25"/>
        <v>1.1746240592326309</v>
      </c>
    </row>
    <row r="102" spans="12:19" x14ac:dyDescent="0.3">
      <c r="L102">
        <v>-6.6712355661635669</v>
      </c>
      <c r="M102">
        <v>103.018</v>
      </c>
      <c r="N102">
        <f t="shared" si="26"/>
        <v>96.346764433836427</v>
      </c>
      <c r="O102">
        <v>2012</v>
      </c>
      <c r="P102">
        <f t="shared" si="27"/>
        <v>11.047313362241033</v>
      </c>
      <c r="Q102">
        <f t="shared" si="28"/>
        <v>9.8552168949771701</v>
      </c>
      <c r="S102">
        <f t="shared" si="25"/>
        <v>-1.1920964672638625</v>
      </c>
    </row>
    <row r="103" spans="12:19" x14ac:dyDescent="0.3">
      <c r="L103">
        <v>1.4585840336581626</v>
      </c>
      <c r="M103">
        <v>103.9965</v>
      </c>
      <c r="N103">
        <f t="shared" si="26"/>
        <v>105.45508403365815</v>
      </c>
      <c r="O103">
        <v>2013</v>
      </c>
      <c r="P103">
        <f t="shared" si="27"/>
        <v>6.4184255030238813</v>
      </c>
      <c r="Q103">
        <f t="shared" si="28"/>
        <v>6.2861417322834638</v>
      </c>
      <c r="S103">
        <f t="shared" si="25"/>
        <v>-0.13228377074041742</v>
      </c>
    </row>
    <row r="104" spans="12:19" x14ac:dyDescent="0.3">
      <c r="L104">
        <v>1.6422432502724646</v>
      </c>
      <c r="M104">
        <v>104.97499999999999</v>
      </c>
      <c r="N104">
        <f t="shared" si="26"/>
        <v>106.61724325027245</v>
      </c>
      <c r="O104">
        <v>2014</v>
      </c>
      <c r="P104">
        <f t="shared" si="27"/>
        <v>5.4357096019762459</v>
      </c>
      <c r="Q104">
        <f t="shared" si="28"/>
        <v>5.1002200220022011</v>
      </c>
      <c r="S104">
        <f t="shared" si="25"/>
        <v>-0.33548957997404472</v>
      </c>
    </row>
    <row r="105" spans="12:19" x14ac:dyDescent="0.3">
      <c r="L105">
        <v>0.4446893910822638</v>
      </c>
      <c r="M105">
        <v>105.95350000000001</v>
      </c>
      <c r="N105">
        <f t="shared" si="26"/>
        <v>106.39818939108227</v>
      </c>
      <c r="O105">
        <v>2015</v>
      </c>
      <c r="P105">
        <f t="shared" si="27"/>
        <v>5.5016040901944692</v>
      </c>
      <c r="Q105">
        <f t="shared" si="28"/>
        <v>4.8848056155507571</v>
      </c>
      <c r="S105">
        <f t="shared" si="25"/>
        <v>-0.61679847464371207</v>
      </c>
    </row>
    <row r="106" spans="12:19" x14ac:dyDescent="0.3">
      <c r="L106">
        <v>3.0977226704784329</v>
      </c>
      <c r="M106">
        <v>106.932</v>
      </c>
      <c r="N106">
        <f t="shared" si="26"/>
        <v>110.02972267047844</v>
      </c>
      <c r="O106">
        <v>2016</v>
      </c>
      <c r="P106">
        <f t="shared" si="27"/>
        <v>4.4018058160923985</v>
      </c>
      <c r="Q106">
        <f t="shared" si="28"/>
        <v>4.5318406889128093</v>
      </c>
      <c r="S106">
        <f t="shared" si="25"/>
        <v>0.13003487282041082</v>
      </c>
    </row>
    <row r="107" spans="12:19" x14ac:dyDescent="0.3">
      <c r="L107">
        <v>2.7396487703222547</v>
      </c>
      <c r="M107">
        <v>107.9105</v>
      </c>
      <c r="N107">
        <f t="shared" si="26"/>
        <v>110.65014877032226</v>
      </c>
      <c r="O107">
        <v>2017</v>
      </c>
      <c r="P107">
        <f t="shared" si="27"/>
        <v>4.4892041232264814</v>
      </c>
      <c r="Q107">
        <f t="shared" si="28"/>
        <v>4.4931483457844186</v>
      </c>
      <c r="S107">
        <f t="shared" si="25"/>
        <v>3.9442225579371382E-3</v>
      </c>
    </row>
    <row r="108" spans="12:19" x14ac:dyDescent="0.3">
      <c r="L108">
        <v>3.9980421183685166E-3</v>
      </c>
      <c r="M108">
        <v>108.889</v>
      </c>
      <c r="N108">
        <f t="shared" si="26"/>
        <v>108.89299804211836</v>
      </c>
      <c r="O108">
        <v>2018</v>
      </c>
      <c r="P108">
        <f t="shared" si="27"/>
        <v>4.6601184437270682</v>
      </c>
      <c r="Q108">
        <f t="shared" si="28"/>
        <v>4.7614000000000001</v>
      </c>
      <c r="S108">
        <f t="shared" si="25"/>
        <v>0.10128155627293189</v>
      </c>
    </row>
    <row r="109" spans="12:19" x14ac:dyDescent="0.3">
      <c r="L109">
        <v>-2.1841908459749604</v>
      </c>
      <c r="M109">
        <v>109.86750000000001</v>
      </c>
      <c r="N109">
        <f t="shared" si="26"/>
        <v>107.68330915402504</v>
      </c>
      <c r="O109">
        <v>2019</v>
      </c>
      <c r="P109">
        <f t="shared" si="27"/>
        <v>5.1665266265451901</v>
      </c>
      <c r="Q109">
        <f t="shared" si="28"/>
        <v>4.6081404958677696</v>
      </c>
      <c r="S109">
        <f t="shared" si="25"/>
        <v>-0.55838613067742049</v>
      </c>
    </row>
    <row r="110" spans="12:19" x14ac:dyDescent="0.3">
      <c r="L110">
        <v>0.51588068708005608</v>
      </c>
      <c r="M110">
        <v>110.846</v>
      </c>
      <c r="N110">
        <f t="shared" si="26"/>
        <v>111.36188068708006</v>
      </c>
      <c r="O110">
        <v>2020</v>
      </c>
      <c r="P110">
        <f t="shared" si="27"/>
        <v>5.5066911772661324</v>
      </c>
      <c r="Q110">
        <f t="shared" si="28"/>
        <v>5.6760900000000012</v>
      </c>
      <c r="S110">
        <f t="shared" si="25"/>
        <v>0.16939882273386875</v>
      </c>
    </row>
    <row r="111" spans="12:19" x14ac:dyDescent="0.3">
      <c r="L111">
        <v>-0.2068580896000185</v>
      </c>
      <c r="M111">
        <v>111.8245</v>
      </c>
      <c r="N111">
        <f t="shared" si="26"/>
        <v>111.61764191039998</v>
      </c>
      <c r="O111">
        <v>2021</v>
      </c>
      <c r="P111">
        <f t="shared" si="27"/>
        <v>5.3475966252536553</v>
      </c>
      <c r="Q111">
        <f t="shared" si="28"/>
        <v>7.2427745664739902</v>
      </c>
      <c r="S111">
        <f t="shared" si="25"/>
        <v>1.8951779412203349</v>
      </c>
    </row>
    <row r="112" spans="12:19" x14ac:dyDescent="0.3">
      <c r="L112">
        <v>-4.8155145500730967</v>
      </c>
      <c r="M112">
        <v>112.803</v>
      </c>
      <c r="N112">
        <f t="shared" si="26"/>
        <v>107.98748544992691</v>
      </c>
      <c r="O112">
        <v>2022</v>
      </c>
      <c r="P112">
        <f t="shared" si="27"/>
        <v>6.3732251468365977</v>
      </c>
      <c r="Q112">
        <f t="shared" si="28"/>
        <v>7.2008963093145875</v>
      </c>
      <c r="S112">
        <f t="shared" si="25"/>
        <v>0.82767116247798977</v>
      </c>
    </row>
    <row r="113" spans="12:20" x14ac:dyDescent="0.3">
      <c r="L113">
        <v>-1.4949173699269309</v>
      </c>
      <c r="M113">
        <v>113.78149999999999</v>
      </c>
      <c r="N113">
        <f t="shared" si="26"/>
        <v>112.28658263007307</v>
      </c>
      <c r="O113">
        <v>2023</v>
      </c>
      <c r="P113">
        <f t="shared" si="27"/>
        <v>4.9381776993809314</v>
      </c>
      <c r="Q113">
        <f t="shared" si="28"/>
        <v>4.7430532445923461</v>
      </c>
      <c r="S113">
        <f t="shared" si="25"/>
        <v>-0.19512445478858531</v>
      </c>
    </row>
    <row r="114" spans="12:20" x14ac:dyDescent="0.3">
      <c r="L114">
        <v>-1.6523637523958996</v>
      </c>
      <c r="M114">
        <v>114.76</v>
      </c>
      <c r="N114">
        <f t="shared" si="26"/>
        <v>113.10763624760411</v>
      </c>
      <c r="O114">
        <v>2024</v>
      </c>
      <c r="P114">
        <f t="shared" si="27"/>
        <v>5.1305724467997873</v>
      </c>
      <c r="Q114">
        <f t="shared" si="28"/>
        <v>4.3227990235964207</v>
      </c>
      <c r="S114">
        <f t="shared" si="25"/>
        <v>-0.80777342320336665</v>
      </c>
    </row>
    <row r="115" spans="12:20" x14ac:dyDescent="0.3">
      <c r="L115">
        <v>1.1370408084012382</v>
      </c>
      <c r="M115">
        <v>115.7385</v>
      </c>
      <c r="N115">
        <f>M115+L115</f>
        <v>116.87554080840124</v>
      </c>
      <c r="O115">
        <v>2025</v>
      </c>
      <c r="P115">
        <f t="shared" si="27"/>
        <v>4.1603203785361806</v>
      </c>
      <c r="Q115">
        <f t="shared" si="28"/>
        <v>4</v>
      </c>
      <c r="S115">
        <f t="shared" si="25"/>
        <v>-0.16032037853618064</v>
      </c>
      <c r="T115" s="13" t="s">
        <v>28</v>
      </c>
    </row>
    <row r="116" spans="12:20" x14ac:dyDescent="0.3">
      <c r="S116" cm="1">
        <f t="array" ref="S116">SUM(ABS(S99:S115))</f>
        <v>9.6667859722557399</v>
      </c>
      <c r="T116" s="13">
        <f>S116/COUNT(O99:O115)</f>
        <v>0.56863446895621994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  ST Demand &amp; Market Tigh</vt:lpstr>
      <vt:lpstr>Est. Demand Index</vt:lpstr>
      <vt:lpstr>Tool Ideas</vt:lpstr>
      <vt:lpstr>Scoring.Eval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Widmar</dc:creator>
  <cp:lastModifiedBy>Jeffrey Young</cp:lastModifiedBy>
  <dcterms:created xsi:type="dcterms:W3CDTF">2026-02-20T18:05:48Z</dcterms:created>
  <dcterms:modified xsi:type="dcterms:W3CDTF">2026-03-26T21:09:32Z</dcterms:modified>
</cp:coreProperties>
</file>