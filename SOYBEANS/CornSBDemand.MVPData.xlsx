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ung6\Desktop\Consulting\AEI\2026 Projects\Soybean Demand\from David\New folder\cleaned\"/>
    </mc:Choice>
  </mc:AlternateContent>
  <xr:revisionPtr revIDLastSave="0" documentId="13_ncr:1_{E40F62C6-E36A-41FF-8383-38FB709434CE}" xr6:coauthVersionLast="47" xr6:coauthVersionMax="47" xr10:uidLastSave="{00000000-0000-0000-0000-000000000000}"/>
  <bookViews>
    <workbookView xWindow="-108" yWindow="-108" windowWidth="23256" windowHeight="12456" xr2:uid="{52D351CF-5BB5-0342-A394-F0E2EB2F0840}"/>
  </bookViews>
  <sheets>
    <sheet name="Corn" sheetId="1" r:id="rId1"/>
    <sheet name="Soybeans" sheetId="2" r:id="rId2"/>
    <sheet name="Soybeans - bu" sheetId="3" r:id="rId3"/>
    <sheet name="Corn - b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U2" i="4"/>
  <c r="O2" i="4"/>
  <c r="N2" i="4"/>
  <c r="L2" i="4"/>
  <c r="K2" i="4"/>
  <c r="J2" i="4"/>
  <c r="I2" i="4"/>
  <c r="H2" i="4"/>
  <c r="G2" i="4"/>
  <c r="F2" i="4"/>
  <c r="E2" i="4"/>
  <c r="D2" i="4"/>
  <c r="C2" i="4"/>
  <c r="M2" i="4"/>
  <c r="P2" i="4"/>
  <c r="Q2" i="4"/>
  <c r="R2" i="4"/>
  <c r="S2" i="4"/>
  <c r="T2" i="4"/>
  <c r="B2" i="4"/>
  <c r="N3" i="3"/>
  <c r="O3" i="3"/>
  <c r="N4" i="3"/>
  <c r="O4" i="3"/>
  <c r="N5" i="3"/>
  <c r="O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F3" i="3"/>
  <c r="G3" i="3"/>
  <c r="H3" i="3"/>
  <c r="I3" i="3"/>
  <c r="J3" i="3"/>
  <c r="K3" i="3"/>
  <c r="L3" i="3"/>
  <c r="F4" i="3"/>
  <c r="G4" i="3"/>
  <c r="H4" i="3"/>
  <c r="I4" i="3"/>
  <c r="J4" i="3"/>
  <c r="K4" i="3"/>
  <c r="L4" i="3"/>
  <c r="F5" i="3"/>
  <c r="G5" i="3"/>
  <c r="H5" i="3"/>
  <c r="I5" i="3"/>
  <c r="J5" i="3"/>
  <c r="K5" i="3"/>
  <c r="L5" i="3"/>
  <c r="F6" i="3"/>
  <c r="G6" i="3"/>
  <c r="H6" i="3"/>
  <c r="I6" i="3"/>
  <c r="J6" i="3"/>
  <c r="K6" i="3"/>
  <c r="L6" i="3"/>
  <c r="F7" i="3"/>
  <c r="G7" i="3"/>
  <c r="H7" i="3"/>
  <c r="I7" i="3"/>
  <c r="J7" i="3"/>
  <c r="K7" i="3"/>
  <c r="L7" i="3"/>
  <c r="F8" i="3"/>
  <c r="G8" i="3"/>
  <c r="H8" i="3"/>
  <c r="I8" i="3"/>
  <c r="J8" i="3"/>
  <c r="K8" i="3"/>
  <c r="L8" i="3"/>
  <c r="F9" i="3"/>
  <c r="G9" i="3"/>
  <c r="H9" i="3"/>
  <c r="I9" i="3"/>
  <c r="J9" i="3"/>
  <c r="K9" i="3"/>
  <c r="L9" i="3"/>
  <c r="F10" i="3"/>
  <c r="G10" i="3"/>
  <c r="H10" i="3"/>
  <c r="I10" i="3"/>
  <c r="J10" i="3"/>
  <c r="K10" i="3"/>
  <c r="L10" i="3"/>
  <c r="F11" i="3"/>
  <c r="G11" i="3"/>
  <c r="H11" i="3"/>
  <c r="I11" i="3"/>
  <c r="J11" i="3"/>
  <c r="K11" i="3"/>
  <c r="L11" i="3"/>
  <c r="F12" i="3"/>
  <c r="G12" i="3"/>
  <c r="H12" i="3"/>
  <c r="I12" i="3"/>
  <c r="J12" i="3"/>
  <c r="K12" i="3"/>
  <c r="L12" i="3"/>
  <c r="F13" i="3"/>
  <c r="G13" i="3"/>
  <c r="H13" i="3"/>
  <c r="I13" i="3"/>
  <c r="J13" i="3"/>
  <c r="K13" i="3"/>
  <c r="L13" i="3"/>
  <c r="F14" i="3"/>
  <c r="G14" i="3"/>
  <c r="H14" i="3"/>
  <c r="I14" i="3"/>
  <c r="J14" i="3"/>
  <c r="K14" i="3"/>
  <c r="L14" i="3"/>
  <c r="F15" i="3"/>
  <c r="G15" i="3"/>
  <c r="H15" i="3"/>
  <c r="I15" i="3"/>
  <c r="J15" i="3"/>
  <c r="K15" i="3"/>
  <c r="L15" i="3"/>
  <c r="F16" i="3"/>
  <c r="G16" i="3"/>
  <c r="H16" i="3"/>
  <c r="I16" i="3"/>
  <c r="J16" i="3"/>
  <c r="K16" i="3"/>
  <c r="L16" i="3"/>
  <c r="F17" i="3"/>
  <c r="G17" i="3"/>
  <c r="H17" i="3"/>
  <c r="I17" i="3"/>
  <c r="J17" i="3"/>
  <c r="K17" i="3"/>
  <c r="L17" i="3"/>
  <c r="F18" i="3"/>
  <c r="G18" i="3"/>
  <c r="H18" i="3"/>
  <c r="I18" i="3"/>
  <c r="J18" i="3"/>
  <c r="K18" i="3"/>
  <c r="L18" i="3"/>
  <c r="F19" i="3"/>
  <c r="G19" i="3"/>
  <c r="H19" i="3"/>
  <c r="I19" i="3"/>
  <c r="J19" i="3"/>
  <c r="K19" i="3"/>
  <c r="L19" i="3"/>
  <c r="F20" i="3"/>
  <c r="G20" i="3"/>
  <c r="H20" i="3"/>
  <c r="I20" i="3"/>
  <c r="J20" i="3"/>
  <c r="K20" i="3"/>
  <c r="L20" i="3"/>
  <c r="F21" i="3"/>
  <c r="G21" i="3"/>
  <c r="H21" i="3"/>
  <c r="I21" i="3"/>
  <c r="J21" i="3"/>
  <c r="K21" i="3"/>
  <c r="L21" i="3"/>
  <c r="F22" i="3"/>
  <c r="G22" i="3"/>
  <c r="H22" i="3"/>
  <c r="I22" i="3"/>
  <c r="J22" i="3"/>
  <c r="K22" i="3"/>
  <c r="L22" i="3"/>
  <c r="F23" i="3"/>
  <c r="G23" i="3"/>
  <c r="H23" i="3"/>
  <c r="I23" i="3"/>
  <c r="J23" i="3"/>
  <c r="K23" i="3"/>
  <c r="L23" i="3"/>
  <c r="F24" i="3"/>
  <c r="G24" i="3"/>
  <c r="H24" i="3"/>
  <c r="I24" i="3"/>
  <c r="J24" i="3"/>
  <c r="K24" i="3"/>
  <c r="L24" i="3"/>
  <c r="F25" i="3"/>
  <c r="G25" i="3"/>
  <c r="H25" i="3"/>
  <c r="I25" i="3"/>
  <c r="J25" i="3"/>
  <c r="K25" i="3"/>
  <c r="L25" i="3"/>
  <c r="F26" i="3"/>
  <c r="G26" i="3"/>
  <c r="H26" i="3"/>
  <c r="I26" i="3"/>
  <c r="J26" i="3"/>
  <c r="K26" i="3"/>
  <c r="L26" i="3"/>
  <c r="F27" i="3"/>
  <c r="G27" i="3"/>
  <c r="H27" i="3"/>
  <c r="I27" i="3"/>
  <c r="J27" i="3"/>
  <c r="K27" i="3"/>
  <c r="L27" i="3"/>
  <c r="F28" i="3"/>
  <c r="G28" i="3"/>
  <c r="H28" i="3"/>
  <c r="I28" i="3"/>
  <c r="J28" i="3"/>
  <c r="K28" i="3"/>
  <c r="L28" i="3"/>
  <c r="F29" i="3"/>
  <c r="G29" i="3"/>
  <c r="H29" i="3"/>
  <c r="I29" i="3"/>
  <c r="J29" i="3"/>
  <c r="K29" i="3"/>
  <c r="L29" i="3"/>
  <c r="F30" i="3"/>
  <c r="G30" i="3"/>
  <c r="H30" i="3"/>
  <c r="I30" i="3"/>
  <c r="J30" i="3"/>
  <c r="K30" i="3"/>
  <c r="L30" i="3"/>
  <c r="F31" i="3"/>
  <c r="G31" i="3"/>
  <c r="H31" i="3"/>
  <c r="I31" i="3"/>
  <c r="J31" i="3"/>
  <c r="K31" i="3"/>
  <c r="L31" i="3"/>
  <c r="F32" i="3"/>
  <c r="G32" i="3"/>
  <c r="H32" i="3"/>
  <c r="I32" i="3"/>
  <c r="J32" i="3"/>
  <c r="K32" i="3"/>
  <c r="L32" i="3"/>
  <c r="F33" i="3"/>
  <c r="G33" i="3"/>
  <c r="H33" i="3"/>
  <c r="I33" i="3"/>
  <c r="J33" i="3"/>
  <c r="K33" i="3"/>
  <c r="L33" i="3"/>
  <c r="F34" i="3"/>
  <c r="G34" i="3"/>
  <c r="H34" i="3"/>
  <c r="I34" i="3"/>
  <c r="J34" i="3"/>
  <c r="K34" i="3"/>
  <c r="L34" i="3"/>
  <c r="F35" i="3"/>
  <c r="G35" i="3"/>
  <c r="H35" i="3"/>
  <c r="I35" i="3"/>
  <c r="J35" i="3"/>
  <c r="K35" i="3"/>
  <c r="L35" i="3"/>
  <c r="F36" i="3"/>
  <c r="G36" i="3"/>
  <c r="H36" i="3"/>
  <c r="I36" i="3"/>
  <c r="J36" i="3"/>
  <c r="K36" i="3"/>
  <c r="L36" i="3"/>
  <c r="F37" i="3"/>
  <c r="G37" i="3"/>
  <c r="H37" i="3"/>
  <c r="I37" i="3"/>
  <c r="J37" i="3"/>
  <c r="K37" i="3"/>
  <c r="L37" i="3"/>
  <c r="F38" i="3"/>
  <c r="G38" i="3"/>
  <c r="H38" i="3"/>
  <c r="I38" i="3"/>
  <c r="J38" i="3"/>
  <c r="K38" i="3"/>
  <c r="L38" i="3"/>
  <c r="F39" i="3"/>
  <c r="G39" i="3"/>
  <c r="H39" i="3"/>
  <c r="I39" i="3"/>
  <c r="J39" i="3"/>
  <c r="K39" i="3"/>
  <c r="L39" i="3"/>
  <c r="F40" i="3"/>
  <c r="G40" i="3"/>
  <c r="H40" i="3"/>
  <c r="I40" i="3"/>
  <c r="J40" i="3"/>
  <c r="K40" i="3"/>
  <c r="L40" i="3"/>
  <c r="F41" i="3"/>
  <c r="G41" i="3"/>
  <c r="H41" i="3"/>
  <c r="I41" i="3"/>
  <c r="J41" i="3"/>
  <c r="K41" i="3"/>
  <c r="L41" i="3"/>
  <c r="F42" i="3"/>
  <c r="G42" i="3"/>
  <c r="H42" i="3"/>
  <c r="I42" i="3"/>
  <c r="J42" i="3"/>
  <c r="K42" i="3"/>
  <c r="L42" i="3"/>
  <c r="F43" i="3"/>
  <c r="G43" i="3"/>
  <c r="H43" i="3"/>
  <c r="I43" i="3"/>
  <c r="J43" i="3"/>
  <c r="K43" i="3"/>
  <c r="L43" i="3"/>
  <c r="F44" i="3"/>
  <c r="G44" i="3"/>
  <c r="H44" i="3"/>
  <c r="I44" i="3"/>
  <c r="J44" i="3"/>
  <c r="K44" i="3"/>
  <c r="L44" i="3"/>
  <c r="F45" i="3"/>
  <c r="G45" i="3"/>
  <c r="H45" i="3"/>
  <c r="I45" i="3"/>
  <c r="J45" i="3"/>
  <c r="K45" i="3"/>
  <c r="L45" i="3"/>
  <c r="F46" i="3"/>
  <c r="G46" i="3"/>
  <c r="H46" i="3"/>
  <c r="I46" i="3"/>
  <c r="J46" i="3"/>
  <c r="K46" i="3"/>
  <c r="L46" i="3"/>
  <c r="F47" i="3"/>
  <c r="G47" i="3"/>
  <c r="H47" i="3"/>
  <c r="I47" i="3"/>
  <c r="J47" i="3"/>
  <c r="K47" i="3"/>
  <c r="L47" i="3"/>
  <c r="F48" i="3"/>
  <c r="G48" i="3"/>
  <c r="H48" i="3"/>
  <c r="I48" i="3"/>
  <c r="J48" i="3"/>
  <c r="K48" i="3"/>
  <c r="L48" i="3"/>
  <c r="F49" i="3"/>
  <c r="G49" i="3"/>
  <c r="H49" i="3"/>
  <c r="I49" i="3"/>
  <c r="J49" i="3"/>
  <c r="K49" i="3"/>
  <c r="L49" i="3"/>
  <c r="F50" i="3"/>
  <c r="G50" i="3"/>
  <c r="H50" i="3"/>
  <c r="I50" i="3"/>
  <c r="J50" i="3"/>
  <c r="K50" i="3"/>
  <c r="L50" i="3"/>
  <c r="F51" i="3"/>
  <c r="G51" i="3"/>
  <c r="H51" i="3"/>
  <c r="I51" i="3"/>
  <c r="J51" i="3"/>
  <c r="K51" i="3"/>
  <c r="L51" i="3"/>
  <c r="F52" i="3"/>
  <c r="G52" i="3"/>
  <c r="H52" i="3"/>
  <c r="I52" i="3"/>
  <c r="J52" i="3"/>
  <c r="K52" i="3"/>
  <c r="L52" i="3"/>
  <c r="F53" i="3"/>
  <c r="G53" i="3"/>
  <c r="H53" i="3"/>
  <c r="I53" i="3"/>
  <c r="J53" i="3"/>
  <c r="K53" i="3"/>
  <c r="L53" i="3"/>
  <c r="F54" i="3"/>
  <c r="G54" i="3"/>
  <c r="H54" i="3"/>
  <c r="I54" i="3"/>
  <c r="J54" i="3"/>
  <c r="K54" i="3"/>
  <c r="L54" i="3"/>
  <c r="F55" i="3"/>
  <c r="G55" i="3"/>
  <c r="H55" i="3"/>
  <c r="I55" i="3"/>
  <c r="J55" i="3"/>
  <c r="K55" i="3"/>
  <c r="L55" i="3"/>
  <c r="F56" i="3"/>
  <c r="G56" i="3"/>
  <c r="H56" i="3"/>
  <c r="I56" i="3"/>
  <c r="J56" i="3"/>
  <c r="K56" i="3"/>
  <c r="L56" i="3"/>
  <c r="F57" i="3"/>
  <c r="G57" i="3"/>
  <c r="H57" i="3"/>
  <c r="I57" i="3"/>
  <c r="J57" i="3"/>
  <c r="K57" i="3"/>
  <c r="L5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2" i="3"/>
  <c r="P2" i="3"/>
  <c r="O2" i="3"/>
  <c r="N2" i="3"/>
  <c r="L2" i="3"/>
  <c r="K2" i="3"/>
  <c r="J2" i="3"/>
  <c r="I2" i="3"/>
  <c r="H2" i="3"/>
  <c r="G2" i="3"/>
  <c r="F2" i="3"/>
  <c r="E2" i="3"/>
  <c r="D2" i="3"/>
  <c r="S2" i="3"/>
  <c r="T2" i="3"/>
  <c r="S3" i="3"/>
  <c r="T3" i="3"/>
  <c r="S4" i="3"/>
  <c r="T4" i="3"/>
  <c r="S5" i="3"/>
  <c r="T5" i="3"/>
  <c r="S6" i="3"/>
  <c r="T6" i="3"/>
  <c r="S7" i="3"/>
  <c r="T7" i="3"/>
  <c r="S8" i="3"/>
  <c r="T8" i="3"/>
  <c r="S9" i="3"/>
  <c r="T9" i="3"/>
  <c r="S10" i="3"/>
  <c r="T10" i="3"/>
  <c r="S11" i="3"/>
  <c r="T11" i="3"/>
  <c r="S12" i="3"/>
  <c r="T12" i="3"/>
  <c r="S13" i="3"/>
  <c r="T13" i="3"/>
  <c r="S14" i="3"/>
  <c r="T14" i="3"/>
  <c r="S15" i="3"/>
  <c r="T15" i="3"/>
  <c r="S16" i="3"/>
  <c r="T16" i="3"/>
  <c r="S17" i="3"/>
  <c r="T17" i="3"/>
  <c r="S18" i="3"/>
  <c r="T18" i="3"/>
  <c r="S19" i="3"/>
  <c r="T19" i="3"/>
  <c r="S20" i="3"/>
  <c r="T20" i="3"/>
  <c r="S21" i="3"/>
  <c r="T21" i="3"/>
  <c r="S22" i="3"/>
  <c r="T22" i="3"/>
  <c r="S23" i="3"/>
  <c r="T23" i="3"/>
  <c r="S24" i="3"/>
  <c r="T24" i="3"/>
  <c r="S25" i="3"/>
  <c r="T25" i="3"/>
  <c r="S26" i="3"/>
  <c r="T26" i="3"/>
  <c r="S27" i="3"/>
  <c r="T27" i="3"/>
  <c r="S28" i="3"/>
  <c r="T28" i="3"/>
  <c r="S29" i="3"/>
  <c r="T29" i="3"/>
  <c r="S30" i="3"/>
  <c r="T30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S46" i="3"/>
  <c r="T46" i="3"/>
  <c r="S47" i="3"/>
  <c r="T47" i="3"/>
  <c r="S48" i="3"/>
  <c r="T48" i="3"/>
  <c r="S49" i="3"/>
  <c r="T49" i="3"/>
  <c r="S50" i="3"/>
  <c r="T50" i="3"/>
  <c r="S51" i="3"/>
  <c r="T51" i="3"/>
  <c r="S52" i="3"/>
  <c r="T52" i="3"/>
  <c r="S53" i="3"/>
  <c r="T53" i="3"/>
  <c r="S54" i="3"/>
  <c r="T54" i="3"/>
  <c r="S55" i="3"/>
  <c r="T55" i="3"/>
  <c r="S56" i="3"/>
  <c r="T56" i="3"/>
  <c r="S57" i="3"/>
  <c r="T57" i="3"/>
  <c r="C2" i="3"/>
  <c r="M2" i="3"/>
  <c r="Q2" i="3"/>
  <c r="R2" i="3"/>
  <c r="C3" i="3"/>
  <c r="M3" i="3"/>
  <c r="P3" i="3"/>
  <c r="Q3" i="3"/>
  <c r="R3" i="3"/>
  <c r="C4" i="3"/>
  <c r="M4" i="3"/>
  <c r="P4" i="3"/>
  <c r="Q4" i="3"/>
  <c r="R4" i="3"/>
  <c r="C5" i="3"/>
  <c r="M5" i="3"/>
  <c r="P5" i="3"/>
  <c r="Q5" i="3"/>
  <c r="R5" i="3"/>
  <c r="C6" i="3"/>
  <c r="M6" i="3"/>
  <c r="P6" i="3"/>
  <c r="Q6" i="3"/>
  <c r="R6" i="3"/>
  <c r="C7" i="3"/>
  <c r="M7" i="3"/>
  <c r="P7" i="3"/>
  <c r="Q7" i="3"/>
  <c r="R7" i="3"/>
  <c r="C8" i="3"/>
  <c r="M8" i="3"/>
  <c r="P8" i="3"/>
  <c r="Q8" i="3"/>
  <c r="R8" i="3"/>
  <c r="C9" i="3"/>
  <c r="M9" i="3"/>
  <c r="P9" i="3"/>
  <c r="Q9" i="3"/>
  <c r="R9" i="3"/>
  <c r="C10" i="3"/>
  <c r="M10" i="3"/>
  <c r="P10" i="3"/>
  <c r="Q10" i="3"/>
  <c r="R10" i="3"/>
  <c r="C11" i="3"/>
  <c r="M11" i="3"/>
  <c r="P11" i="3"/>
  <c r="Q11" i="3"/>
  <c r="R11" i="3"/>
  <c r="C12" i="3"/>
  <c r="M12" i="3"/>
  <c r="P12" i="3"/>
  <c r="Q12" i="3"/>
  <c r="R12" i="3"/>
  <c r="C13" i="3"/>
  <c r="M13" i="3"/>
  <c r="P13" i="3"/>
  <c r="Q13" i="3"/>
  <c r="R13" i="3"/>
  <c r="C14" i="3"/>
  <c r="M14" i="3"/>
  <c r="P14" i="3"/>
  <c r="Q14" i="3"/>
  <c r="R14" i="3"/>
  <c r="C15" i="3"/>
  <c r="M15" i="3"/>
  <c r="P15" i="3"/>
  <c r="Q15" i="3"/>
  <c r="R15" i="3"/>
  <c r="C16" i="3"/>
  <c r="M16" i="3"/>
  <c r="P16" i="3"/>
  <c r="Q16" i="3"/>
  <c r="R16" i="3"/>
  <c r="C17" i="3"/>
  <c r="M17" i="3"/>
  <c r="P17" i="3"/>
  <c r="Q17" i="3"/>
  <c r="R17" i="3"/>
  <c r="C18" i="3"/>
  <c r="M18" i="3"/>
  <c r="P18" i="3"/>
  <c r="Q18" i="3"/>
  <c r="R18" i="3"/>
  <c r="C19" i="3"/>
  <c r="M19" i="3"/>
  <c r="P19" i="3"/>
  <c r="Q19" i="3"/>
  <c r="R19" i="3"/>
  <c r="C20" i="3"/>
  <c r="M20" i="3"/>
  <c r="P20" i="3"/>
  <c r="Q20" i="3"/>
  <c r="R20" i="3"/>
  <c r="C21" i="3"/>
  <c r="M21" i="3"/>
  <c r="P21" i="3"/>
  <c r="Q21" i="3"/>
  <c r="R21" i="3"/>
  <c r="C22" i="3"/>
  <c r="M22" i="3"/>
  <c r="P22" i="3"/>
  <c r="Q22" i="3"/>
  <c r="R22" i="3"/>
  <c r="C23" i="3"/>
  <c r="M23" i="3"/>
  <c r="P23" i="3"/>
  <c r="Q23" i="3"/>
  <c r="R23" i="3"/>
  <c r="C24" i="3"/>
  <c r="M24" i="3"/>
  <c r="P24" i="3"/>
  <c r="Q24" i="3"/>
  <c r="R24" i="3"/>
  <c r="C25" i="3"/>
  <c r="M25" i="3"/>
  <c r="P25" i="3"/>
  <c r="Q25" i="3"/>
  <c r="R25" i="3"/>
  <c r="C26" i="3"/>
  <c r="M26" i="3"/>
  <c r="P26" i="3"/>
  <c r="Q26" i="3"/>
  <c r="R26" i="3"/>
  <c r="C27" i="3"/>
  <c r="M27" i="3"/>
  <c r="P27" i="3"/>
  <c r="Q27" i="3"/>
  <c r="R27" i="3"/>
  <c r="C28" i="3"/>
  <c r="M28" i="3"/>
  <c r="P28" i="3"/>
  <c r="Q28" i="3"/>
  <c r="R28" i="3"/>
  <c r="C29" i="3"/>
  <c r="M29" i="3"/>
  <c r="P29" i="3"/>
  <c r="Q29" i="3"/>
  <c r="R29" i="3"/>
  <c r="C30" i="3"/>
  <c r="M30" i="3"/>
  <c r="P30" i="3"/>
  <c r="Q30" i="3"/>
  <c r="R30" i="3"/>
  <c r="C31" i="3"/>
  <c r="M31" i="3"/>
  <c r="P31" i="3"/>
  <c r="Q31" i="3"/>
  <c r="R31" i="3"/>
  <c r="C32" i="3"/>
  <c r="M32" i="3"/>
  <c r="P32" i="3"/>
  <c r="Q32" i="3"/>
  <c r="R32" i="3"/>
  <c r="C33" i="3"/>
  <c r="M33" i="3"/>
  <c r="P33" i="3"/>
  <c r="Q33" i="3"/>
  <c r="R33" i="3"/>
  <c r="C34" i="3"/>
  <c r="M34" i="3"/>
  <c r="P34" i="3"/>
  <c r="Q34" i="3"/>
  <c r="R34" i="3"/>
  <c r="C35" i="3"/>
  <c r="M35" i="3"/>
  <c r="P35" i="3"/>
  <c r="Q35" i="3"/>
  <c r="R35" i="3"/>
  <c r="C36" i="3"/>
  <c r="M36" i="3"/>
  <c r="P36" i="3"/>
  <c r="Q36" i="3"/>
  <c r="R36" i="3"/>
  <c r="C37" i="3"/>
  <c r="M37" i="3"/>
  <c r="P37" i="3"/>
  <c r="Q37" i="3"/>
  <c r="R37" i="3"/>
  <c r="C38" i="3"/>
  <c r="M38" i="3"/>
  <c r="P38" i="3"/>
  <c r="Q38" i="3"/>
  <c r="R38" i="3"/>
  <c r="C39" i="3"/>
  <c r="M39" i="3"/>
  <c r="P39" i="3"/>
  <c r="Q39" i="3"/>
  <c r="R39" i="3"/>
  <c r="C40" i="3"/>
  <c r="M40" i="3"/>
  <c r="P40" i="3"/>
  <c r="Q40" i="3"/>
  <c r="R40" i="3"/>
  <c r="C41" i="3"/>
  <c r="M41" i="3"/>
  <c r="P41" i="3"/>
  <c r="Q41" i="3"/>
  <c r="R41" i="3"/>
  <c r="C42" i="3"/>
  <c r="M42" i="3"/>
  <c r="P42" i="3"/>
  <c r="Q42" i="3"/>
  <c r="R42" i="3"/>
  <c r="C43" i="3"/>
  <c r="M43" i="3"/>
  <c r="P43" i="3"/>
  <c r="Q43" i="3"/>
  <c r="R43" i="3"/>
  <c r="C44" i="3"/>
  <c r="M44" i="3"/>
  <c r="P44" i="3"/>
  <c r="Q44" i="3"/>
  <c r="R44" i="3"/>
  <c r="C45" i="3"/>
  <c r="M45" i="3"/>
  <c r="P45" i="3"/>
  <c r="Q45" i="3"/>
  <c r="R45" i="3"/>
  <c r="C46" i="3"/>
  <c r="M46" i="3"/>
  <c r="P46" i="3"/>
  <c r="Q46" i="3"/>
  <c r="R46" i="3"/>
  <c r="C47" i="3"/>
  <c r="M47" i="3"/>
  <c r="P47" i="3"/>
  <c r="Q47" i="3"/>
  <c r="R47" i="3"/>
  <c r="C48" i="3"/>
  <c r="M48" i="3"/>
  <c r="P48" i="3"/>
  <c r="Q48" i="3"/>
  <c r="R48" i="3"/>
  <c r="C49" i="3"/>
  <c r="M49" i="3"/>
  <c r="P49" i="3"/>
  <c r="Q49" i="3"/>
  <c r="R49" i="3"/>
  <c r="C50" i="3"/>
  <c r="M50" i="3"/>
  <c r="P50" i="3"/>
  <c r="Q50" i="3"/>
  <c r="R50" i="3"/>
  <c r="C51" i="3"/>
  <c r="M51" i="3"/>
  <c r="P51" i="3"/>
  <c r="Q51" i="3"/>
  <c r="R51" i="3"/>
  <c r="C52" i="3"/>
  <c r="M52" i="3"/>
  <c r="P52" i="3"/>
  <c r="Q52" i="3"/>
  <c r="R52" i="3"/>
  <c r="C53" i="3"/>
  <c r="M53" i="3"/>
  <c r="P53" i="3"/>
  <c r="Q53" i="3"/>
  <c r="R53" i="3"/>
  <c r="C54" i="3"/>
  <c r="M54" i="3"/>
  <c r="P54" i="3"/>
  <c r="Q54" i="3"/>
  <c r="R54" i="3"/>
  <c r="C55" i="3"/>
  <c r="M55" i="3"/>
  <c r="P55" i="3"/>
  <c r="Q55" i="3"/>
  <c r="R55" i="3"/>
  <c r="C56" i="3"/>
  <c r="M56" i="3"/>
  <c r="P56" i="3"/>
  <c r="Q56" i="3"/>
  <c r="R56" i="3"/>
  <c r="C57" i="3"/>
  <c r="M57" i="3"/>
  <c r="P57" i="3"/>
  <c r="Q57" i="3"/>
  <c r="R5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2" i="3"/>
  <c r="T57" i="2"/>
  <c r="S57" i="2"/>
  <c r="R57" i="2"/>
  <c r="Q57" i="2"/>
  <c r="P57" i="2"/>
  <c r="T57" i="1"/>
  <c r="S57" i="1"/>
  <c r="R57" i="1"/>
  <c r="Q57" i="1"/>
  <c r="P57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2" i="1"/>
</calcChain>
</file>

<file path=xl/sharedStrings.xml><?xml version="1.0" encoding="utf-8"?>
<sst xmlns="http://schemas.openxmlformats.org/spreadsheetml/2006/main" count="92" uniqueCount="25">
  <si>
    <t>Year</t>
  </si>
  <si>
    <t>Beginning Stocks</t>
  </si>
  <si>
    <t>Production</t>
  </si>
  <si>
    <t>Imports</t>
  </si>
  <si>
    <t>Total Supply</t>
  </si>
  <si>
    <t>Exports</t>
  </si>
  <si>
    <t>Feed Dom. Consumption</t>
  </si>
  <si>
    <t>FSI Consumption</t>
  </si>
  <si>
    <t>Domestic Consumption</t>
  </si>
  <si>
    <t>Ending Stocks</t>
  </si>
  <si>
    <t>ExchangeRate (US exported Corn)</t>
  </si>
  <si>
    <t>ExchangeRate (Export Competitors - Corn)</t>
  </si>
  <si>
    <t>Total Usage***</t>
  </si>
  <si>
    <t>World: Ending Stocks</t>
  </si>
  <si>
    <t>World: Production</t>
  </si>
  <si>
    <t>US MYA Price (nominal)</t>
  </si>
  <si>
    <t>PCE Index (PCEPI)</t>
  </si>
  <si>
    <t>WorldGDP (NYGDPMKTPCDWLD)</t>
  </si>
  <si>
    <t>US pop (1000s) (B230RC0A052NBEA)</t>
  </si>
  <si>
    <t>World Pop (SPPOPTOTLWLD)</t>
  </si>
  <si>
    <t>USGDP (GDP)</t>
  </si>
  <si>
    <t>Crush</t>
  </si>
  <si>
    <t>Feed Waste Dom. Cons.</t>
  </si>
  <si>
    <t>CPI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</si>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</sst>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2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wrapText="1"/>
    </xf>
    <xf numFmtId="0" fontId="4" fillId="0" borderId="0" xfId="0" applyFont="1"/>
    <xf numFmtId="0" fontId="0" fillId="2" borderId="0" xfId="0" applyFill="1"/>
    <xf numFmtId="0" fontId="0" fillId="3" borderId="0" xfId="0" applyFill="1"/>
    <xf numFmtId="3" fontId="5" fillId="0" borderId="0" xfId="0" applyNumberFormat="1" applyFont="1" applyAlignment="1">
      <alignment wrapText="1"/>
    </xf>
    <xf numFmtId="0" fontId="6" fillId="0" borderId="0" xfId="0" applyFont="1"/>
    <xf numFmtId="2" fontId="0" fillId="0" borderId="0" xfId="0" applyNumberFormat="1"/>
    <xf numFmtId="0" fontId="0" fillId="0" borderId="0" xfId="0"/>
    <xf numFmtId="164" fontId="0" fillId="0" borderId="0" xfId="0" applyNumberFormat="1"/>
    <xf numFmtId="164" fontId="2" fillId="0" borderId="0" xfId="1" applyNumberFormat="1"/>
    <xf numFmtId="0" fontId="0" fillId="0" borderId="0" xfId="0"/>
    <xf numFmtId="164" fontId="1" fillId="0" borderId="0" xfId="4" applyNumberFormat="1"/>
    <xf numFmtId="164" fontId="1" fillId="0" borderId="0" xfId="4" applyNumberFormat="1" applyFill="1"/>
    <xf numFmtId="0" fontId="0" fillId="0" borderId="0" xfId="0"/>
    <xf numFmtId="164" fontId="1" fillId="0" borderId="0" xfId="4" applyNumberFormat="1"/>
    <xf numFmtId="164" fontId="1" fillId="0" borderId="0" xfId="4" applyNumberFormat="1" applyFill="1"/>
    <xf numFmtId="0" fontId="0" fillId="0" borderId="0" xfId="0"/>
    <xf numFmtId="164" fontId="1" fillId="0" borderId="0" xfId="4" applyNumberFormat="1"/>
    <xf numFmtId="164" fontId="1" fillId="0" borderId="0" xfId="4" applyNumberFormat="1" applyFill="1"/>
    <xf numFmtId="0" fontId="0" fillId="0" borderId="0" xfId="0"/>
    <xf numFmtId="164" fontId="1" fillId="0" borderId="0" xfId="4" applyNumberFormat="1"/>
    <xf numFmtId="164" fontId="1" fillId="0" borderId="0" xfId="4" applyNumberFormat="1" applyFill="1"/>
  </cellXfs>
  <cellStyles count="5">
    <cellStyle name="Normal" xfId="0" builtinId="0"/>
    <cellStyle name="Normal 2" xfId="1" xr:uid="{6C08CE25-3DCF-4A03-B1AD-2241EF314E82}"/>
    <cellStyle name="Normal 2 2" xfId="3" xr:uid="{8C10465C-DBE5-4536-859B-58C781F03D2C}"/>
    <cellStyle name="Normal 3" xfId="2" xr:uid="{985135B4-F9CD-4E63-A7A9-A9075FB1CD67}"/>
    <cellStyle name="Normal 3 2" xfId="4" xr:uid="{0CA04D1C-6623-4610-A855-0338BBFA87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D89D-86B9-B748-9922-F13038DBDDA5}">
  <dimension ref="A1:W57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W1" sqref="W1:W57"/>
    </sheetView>
  </sheetViews>
  <sheetFormatPr defaultColWidth="11.19921875" defaultRowHeight="15.6" x14ac:dyDescent="0.3"/>
  <cols>
    <col min="3" max="3" width="10.5" bestFit="1" customWidth="1"/>
    <col min="8" max="11" width="10.796875" style="4"/>
    <col min="16" max="16" width="11.19921875" bestFit="1" customWidth="1"/>
    <col min="22" max="22" width="11.19921875" style="9"/>
  </cols>
  <sheetData>
    <row r="1" spans="1:23" ht="62.4" x14ac:dyDescent="0.3">
      <c r="A1" t="s">
        <v>0</v>
      </c>
      <c r="B1" s="2" t="s">
        <v>10</v>
      </c>
      <c r="C1" s="2" t="s">
        <v>11</v>
      </c>
      <c r="D1" t="s">
        <v>1</v>
      </c>
      <c r="E1" t="s">
        <v>2</v>
      </c>
      <c r="F1" t="s">
        <v>3</v>
      </c>
      <c r="G1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t="s">
        <v>9</v>
      </c>
      <c r="M1" t="s">
        <v>15</v>
      </c>
      <c r="N1" t="s">
        <v>13</v>
      </c>
      <c r="O1" t="s">
        <v>14</v>
      </c>
      <c r="P1" t="s">
        <v>19</v>
      </c>
      <c r="Q1" t="s">
        <v>18</v>
      </c>
      <c r="R1" t="s">
        <v>17</v>
      </c>
      <c r="S1" t="s">
        <v>20</v>
      </c>
      <c r="T1" t="s">
        <v>16</v>
      </c>
      <c r="U1" t="s">
        <v>12</v>
      </c>
      <c r="V1" s="9" t="s">
        <v>23</v>
      </c>
      <c r="W1" s="18" t="s">
        <v>24</v>
      </c>
    </row>
    <row r="2" spans="1:23" x14ac:dyDescent="0.3">
      <c r="A2">
        <v>1970</v>
      </c>
      <c r="B2" s="1">
        <v>96.27996826171875</v>
      </c>
      <c r="C2" s="1">
        <v>75.531028747558594</v>
      </c>
      <c r="D2">
        <v>25533</v>
      </c>
      <c r="E2">
        <v>105472</v>
      </c>
      <c r="F2">
        <v>102</v>
      </c>
      <c r="G2">
        <v>131107</v>
      </c>
      <c r="H2" s="4">
        <v>12854</v>
      </c>
      <c r="I2" s="4">
        <v>91311</v>
      </c>
      <c r="J2" s="4">
        <v>10102</v>
      </c>
      <c r="K2" s="4">
        <v>101413</v>
      </c>
      <c r="L2">
        <v>16840</v>
      </c>
      <c r="M2">
        <v>1.33</v>
      </c>
      <c r="N2">
        <v>36148</v>
      </c>
      <c r="O2">
        <v>268078</v>
      </c>
      <c r="P2" s="3">
        <v>3680589045</v>
      </c>
      <c r="Q2">
        <v>205089</v>
      </c>
      <c r="R2" s="3">
        <v>3004300000000</v>
      </c>
      <c r="S2" s="3">
        <v>1073.3109999999999</v>
      </c>
      <c r="T2" s="3">
        <v>19.765999999999998</v>
      </c>
      <c r="U2">
        <f>J2+I2+H2</f>
        <v>114267</v>
      </c>
      <c r="V2" s="11">
        <v>15</v>
      </c>
      <c r="W2" s="19">
        <v>306.10000000000002</v>
      </c>
    </row>
    <row r="3" spans="1:23" x14ac:dyDescent="0.3">
      <c r="A3">
        <v>1971</v>
      </c>
      <c r="B3" s="1">
        <v>91.949569702148438</v>
      </c>
      <c r="C3" s="1">
        <v>69.234031677246094</v>
      </c>
      <c r="D3">
        <v>16840</v>
      </c>
      <c r="E3">
        <v>143422</v>
      </c>
      <c r="F3">
        <v>32</v>
      </c>
      <c r="G3">
        <v>160294</v>
      </c>
      <c r="H3" s="4">
        <v>19868</v>
      </c>
      <c r="I3" s="4">
        <v>101636</v>
      </c>
      <c r="J3" s="4">
        <v>10190</v>
      </c>
      <c r="K3" s="4">
        <v>111826</v>
      </c>
      <c r="L3">
        <v>28600</v>
      </c>
      <c r="M3">
        <v>1.08</v>
      </c>
      <c r="N3">
        <v>49022</v>
      </c>
      <c r="O3">
        <v>308500</v>
      </c>
      <c r="P3" s="3">
        <v>3758613546</v>
      </c>
      <c r="Q3">
        <v>207692</v>
      </c>
      <c r="R3" s="3">
        <v>3319900000000</v>
      </c>
      <c r="S3" s="3">
        <v>1164.8499999999999</v>
      </c>
      <c r="T3" s="3">
        <v>20.605</v>
      </c>
      <c r="U3">
        <f t="shared" ref="U3:U57" si="0">J3+I3+H3</f>
        <v>131694</v>
      </c>
      <c r="V3" s="11">
        <v>15.5</v>
      </c>
      <c r="W3" s="19">
        <v>289.39999999999998</v>
      </c>
    </row>
    <row r="4" spans="1:23" x14ac:dyDescent="0.3">
      <c r="A4">
        <v>1972</v>
      </c>
      <c r="B4" s="1">
        <v>85.741081237792969</v>
      </c>
      <c r="C4" s="1">
        <v>60.2574462890625</v>
      </c>
      <c r="D4">
        <v>28600</v>
      </c>
      <c r="E4">
        <v>141734</v>
      </c>
      <c r="F4">
        <v>24</v>
      </c>
      <c r="G4">
        <v>170358</v>
      </c>
      <c r="H4" s="4">
        <v>31536</v>
      </c>
      <c r="I4" s="4">
        <v>109615</v>
      </c>
      <c r="J4" s="4">
        <v>11225</v>
      </c>
      <c r="K4" s="4">
        <v>120840</v>
      </c>
      <c r="L4">
        <v>17982</v>
      </c>
      <c r="M4">
        <v>1.57</v>
      </c>
      <c r="N4">
        <v>38016</v>
      </c>
      <c r="O4">
        <v>301447</v>
      </c>
      <c r="P4" s="3">
        <v>3834446322</v>
      </c>
      <c r="Q4">
        <v>209924</v>
      </c>
      <c r="R4" s="3">
        <v>3834200000000</v>
      </c>
      <c r="S4" s="3">
        <v>1279.1120000000001</v>
      </c>
      <c r="T4" s="3">
        <v>21.308</v>
      </c>
      <c r="U4">
        <f t="shared" si="0"/>
        <v>152376</v>
      </c>
      <c r="V4" s="11">
        <v>16.2</v>
      </c>
      <c r="W4" s="19">
        <v>269.7</v>
      </c>
    </row>
    <row r="5" spans="1:23" x14ac:dyDescent="0.3">
      <c r="A5">
        <v>1973</v>
      </c>
      <c r="B5" s="1">
        <v>81.385787963867188</v>
      </c>
      <c r="C5" s="1">
        <v>59.529338836669922</v>
      </c>
      <c r="D5">
        <v>17982</v>
      </c>
      <c r="E5">
        <v>144043</v>
      </c>
      <c r="F5">
        <v>25</v>
      </c>
      <c r="G5">
        <v>162050</v>
      </c>
      <c r="H5" s="4">
        <v>31242</v>
      </c>
      <c r="I5" s="4">
        <v>106808</v>
      </c>
      <c r="J5" s="4">
        <v>11708</v>
      </c>
      <c r="K5" s="4">
        <v>118516</v>
      </c>
      <c r="L5">
        <v>12292</v>
      </c>
      <c r="M5">
        <v>2.5499999999999998</v>
      </c>
      <c r="N5">
        <v>38720</v>
      </c>
      <c r="O5">
        <v>330523</v>
      </c>
      <c r="P5" s="3">
        <v>3911068458</v>
      </c>
      <c r="Q5">
        <v>211939</v>
      </c>
      <c r="R5" s="3">
        <v>4688600000000</v>
      </c>
      <c r="S5" s="3">
        <v>1425.376</v>
      </c>
      <c r="T5" s="3">
        <v>22.456</v>
      </c>
      <c r="U5">
        <f t="shared" si="0"/>
        <v>149758</v>
      </c>
      <c r="V5" s="11">
        <v>18.3</v>
      </c>
      <c r="W5" s="19">
        <v>412.1</v>
      </c>
    </row>
    <row r="6" spans="1:23" x14ac:dyDescent="0.3">
      <c r="A6">
        <v>1974</v>
      </c>
      <c r="B6" s="1">
        <v>81.354316711425781</v>
      </c>
      <c r="C6" s="1">
        <v>61.88629150390625</v>
      </c>
      <c r="D6">
        <v>12292</v>
      </c>
      <c r="E6">
        <v>119421</v>
      </c>
      <c r="F6">
        <v>51</v>
      </c>
      <c r="G6">
        <v>131764</v>
      </c>
      <c r="H6" s="4">
        <v>29186</v>
      </c>
      <c r="I6" s="4">
        <v>76930</v>
      </c>
      <c r="J6" s="4">
        <v>11474</v>
      </c>
      <c r="K6" s="4">
        <v>88404</v>
      </c>
      <c r="L6">
        <v>14174</v>
      </c>
      <c r="M6">
        <v>3.02</v>
      </c>
      <c r="N6">
        <v>45689</v>
      </c>
      <c r="O6">
        <v>299781</v>
      </c>
      <c r="P6" s="3">
        <v>3987294240</v>
      </c>
      <c r="Q6">
        <v>213898</v>
      </c>
      <c r="R6" s="3">
        <v>5419500000000</v>
      </c>
      <c r="S6" s="3">
        <v>1545.2429999999999</v>
      </c>
      <c r="T6" s="3">
        <v>24.792999999999999</v>
      </c>
      <c r="U6">
        <f t="shared" si="0"/>
        <v>117590</v>
      </c>
      <c r="V6" s="11">
        <v>20.8</v>
      </c>
      <c r="W6" s="19">
        <v>639.4</v>
      </c>
    </row>
    <row r="7" spans="1:23" x14ac:dyDescent="0.3">
      <c r="A7">
        <v>1975</v>
      </c>
      <c r="B7" s="1">
        <v>82.211517333984375</v>
      </c>
      <c r="C7" s="1">
        <v>63.680122375488281</v>
      </c>
      <c r="D7">
        <v>14174</v>
      </c>
      <c r="E7">
        <v>148362</v>
      </c>
      <c r="F7">
        <v>38</v>
      </c>
      <c r="G7">
        <v>162574</v>
      </c>
      <c r="H7" s="4">
        <v>42280</v>
      </c>
      <c r="I7" s="4">
        <v>90981</v>
      </c>
      <c r="J7" s="4">
        <v>13229</v>
      </c>
      <c r="K7" s="4">
        <v>104210</v>
      </c>
      <c r="L7">
        <v>16084</v>
      </c>
      <c r="M7">
        <v>2.54</v>
      </c>
      <c r="N7">
        <v>52495</v>
      </c>
      <c r="O7">
        <v>339215</v>
      </c>
      <c r="P7" s="3">
        <v>4062070771</v>
      </c>
      <c r="Q7">
        <v>215981</v>
      </c>
      <c r="R7" s="3">
        <v>6035100000000</v>
      </c>
      <c r="S7" s="3">
        <v>1684.905</v>
      </c>
      <c r="T7" s="3">
        <v>26.86</v>
      </c>
      <c r="U7">
        <f t="shared" si="0"/>
        <v>146490</v>
      </c>
      <c r="V7" s="11">
        <v>22.6</v>
      </c>
      <c r="W7" s="19">
        <v>448.5</v>
      </c>
    </row>
    <row r="8" spans="1:23" x14ac:dyDescent="0.3">
      <c r="A8">
        <v>1976</v>
      </c>
      <c r="B8" s="1">
        <v>82.846267700195313</v>
      </c>
      <c r="C8" s="1">
        <v>62.98223876953125</v>
      </c>
      <c r="D8">
        <v>16084</v>
      </c>
      <c r="E8">
        <v>159752</v>
      </c>
      <c r="F8">
        <v>62</v>
      </c>
      <c r="G8">
        <v>175898</v>
      </c>
      <c r="H8" s="4">
        <v>41788</v>
      </c>
      <c r="I8" s="4">
        <v>91492</v>
      </c>
      <c r="J8" s="4">
        <v>13772</v>
      </c>
      <c r="K8" s="4">
        <v>105264</v>
      </c>
      <c r="L8">
        <v>28846</v>
      </c>
      <c r="M8">
        <v>2.15</v>
      </c>
      <c r="N8">
        <v>68337</v>
      </c>
      <c r="O8">
        <v>356140</v>
      </c>
      <c r="P8" s="3">
        <v>4135758539</v>
      </c>
      <c r="Q8">
        <v>218086</v>
      </c>
      <c r="R8" s="3">
        <v>6560200000000</v>
      </c>
      <c r="S8" s="3">
        <v>1873.413</v>
      </c>
      <c r="T8" s="3">
        <v>28.332999999999998</v>
      </c>
      <c r="U8">
        <f t="shared" si="0"/>
        <v>147052</v>
      </c>
      <c r="V8" s="11">
        <v>23.3</v>
      </c>
      <c r="W8" s="19">
        <v>319.7</v>
      </c>
    </row>
    <row r="9" spans="1:23" x14ac:dyDescent="0.3">
      <c r="A9">
        <v>1977</v>
      </c>
      <c r="B9" s="1">
        <v>76.637420654296875</v>
      </c>
      <c r="C9" s="1">
        <v>58.508747100830078</v>
      </c>
      <c r="D9">
        <v>28846</v>
      </c>
      <c r="E9">
        <v>165236</v>
      </c>
      <c r="F9">
        <v>61</v>
      </c>
      <c r="G9">
        <v>194143</v>
      </c>
      <c r="H9" s="4">
        <v>48171</v>
      </c>
      <c r="I9" s="4">
        <v>94740</v>
      </c>
      <c r="J9" s="4">
        <v>14758</v>
      </c>
      <c r="K9" s="4">
        <v>109498</v>
      </c>
      <c r="L9">
        <v>36474</v>
      </c>
      <c r="M9">
        <v>2.02</v>
      </c>
      <c r="N9">
        <v>77307</v>
      </c>
      <c r="O9">
        <v>365441</v>
      </c>
      <c r="P9" s="3">
        <v>4208958804</v>
      </c>
      <c r="Q9">
        <v>220289</v>
      </c>
      <c r="R9" s="3">
        <v>7416400000000</v>
      </c>
      <c r="S9" s="3">
        <v>2081.8249999999998</v>
      </c>
      <c r="T9" s="3">
        <v>30.175999999999998</v>
      </c>
      <c r="U9">
        <f t="shared" si="0"/>
        <v>157669</v>
      </c>
      <c r="V9" s="11">
        <v>24.7</v>
      </c>
      <c r="W9" s="19">
        <v>398.5</v>
      </c>
    </row>
    <row r="10" spans="1:23" x14ac:dyDescent="0.3">
      <c r="A10">
        <v>1978</v>
      </c>
      <c r="B10" s="1">
        <v>79.017974853515625</v>
      </c>
      <c r="C10" s="1">
        <v>58.037460327148438</v>
      </c>
      <c r="D10">
        <v>36474</v>
      </c>
      <c r="E10">
        <v>184614</v>
      </c>
      <c r="F10">
        <v>29</v>
      </c>
      <c r="G10">
        <v>221117</v>
      </c>
      <c r="H10" s="4">
        <v>53676</v>
      </c>
      <c r="I10" s="4">
        <v>108574</v>
      </c>
      <c r="J10" s="4">
        <v>15444</v>
      </c>
      <c r="K10" s="4">
        <v>124018</v>
      </c>
      <c r="L10">
        <v>43423</v>
      </c>
      <c r="M10">
        <v>2.25</v>
      </c>
      <c r="N10">
        <v>91380</v>
      </c>
      <c r="O10">
        <v>392120</v>
      </c>
      <c r="P10" s="3">
        <v>4283431043</v>
      </c>
      <c r="Q10">
        <v>222629</v>
      </c>
      <c r="R10" s="3">
        <v>8779700000000</v>
      </c>
      <c r="S10" s="3">
        <v>2351.5990000000002</v>
      </c>
      <c r="T10" s="3">
        <v>32.276000000000003</v>
      </c>
      <c r="U10">
        <f t="shared" si="0"/>
        <v>177694</v>
      </c>
      <c r="V10" s="11">
        <v>27.1</v>
      </c>
      <c r="W10" s="19">
        <v>442.4</v>
      </c>
    </row>
    <row r="11" spans="1:23" x14ac:dyDescent="0.3">
      <c r="A11">
        <v>1979</v>
      </c>
      <c r="B11" s="1">
        <v>79.596054077148438</v>
      </c>
      <c r="C11" s="1">
        <v>58.580295562744141</v>
      </c>
      <c r="D11">
        <v>43423</v>
      </c>
      <c r="E11">
        <v>201384</v>
      </c>
      <c r="F11">
        <v>18</v>
      </c>
      <c r="G11">
        <v>244825</v>
      </c>
      <c r="H11" s="4">
        <v>61001</v>
      </c>
      <c r="I11" s="4">
        <v>115907</v>
      </c>
      <c r="J11" s="4">
        <v>16243</v>
      </c>
      <c r="K11" s="4">
        <v>132150</v>
      </c>
      <c r="L11">
        <v>51674</v>
      </c>
      <c r="M11">
        <v>2.52</v>
      </c>
      <c r="N11">
        <v>111155</v>
      </c>
      <c r="O11">
        <v>425566</v>
      </c>
      <c r="P11" s="3">
        <v>4360056401</v>
      </c>
      <c r="Q11">
        <v>225106</v>
      </c>
      <c r="R11" s="3">
        <v>10155462903237.9</v>
      </c>
      <c r="S11" s="3">
        <v>2627.326</v>
      </c>
      <c r="T11" s="3">
        <v>35.143000000000001</v>
      </c>
      <c r="U11">
        <f t="shared" si="0"/>
        <v>193151</v>
      </c>
      <c r="V11" s="11">
        <v>30</v>
      </c>
      <c r="W11" s="19">
        <v>519.70000000000005</v>
      </c>
    </row>
    <row r="12" spans="1:23" x14ac:dyDescent="0.3">
      <c r="A12">
        <v>1980</v>
      </c>
      <c r="B12" s="1">
        <v>80.412803649902344</v>
      </c>
      <c r="C12" s="1">
        <v>64.821983337402344</v>
      </c>
      <c r="D12">
        <v>51674</v>
      </c>
      <c r="E12">
        <v>168648</v>
      </c>
      <c r="F12">
        <v>22</v>
      </c>
      <c r="G12">
        <v>220344</v>
      </c>
      <c r="H12" s="4">
        <v>60737</v>
      </c>
      <c r="I12" s="4">
        <v>107501</v>
      </c>
      <c r="J12" s="4">
        <v>16745</v>
      </c>
      <c r="K12" s="4">
        <v>124246</v>
      </c>
      <c r="L12">
        <v>35361</v>
      </c>
      <c r="M12">
        <v>3.11</v>
      </c>
      <c r="N12">
        <v>102541</v>
      </c>
      <c r="O12">
        <v>408734</v>
      </c>
      <c r="P12" s="3">
        <v>4437602892</v>
      </c>
      <c r="Q12">
        <v>227726</v>
      </c>
      <c r="R12" s="3">
        <v>11452768541637.6</v>
      </c>
      <c r="S12" s="3">
        <v>2857.3090000000002</v>
      </c>
      <c r="T12" s="3">
        <v>38.927999999999997</v>
      </c>
      <c r="U12">
        <f t="shared" si="0"/>
        <v>184983</v>
      </c>
      <c r="V12" s="11">
        <v>32.5</v>
      </c>
      <c r="W12" s="19">
        <v>584.79999999999995</v>
      </c>
    </row>
    <row r="13" spans="1:23" x14ac:dyDescent="0.3">
      <c r="A13">
        <v>1981</v>
      </c>
      <c r="B13" s="1">
        <v>93.981346130371094</v>
      </c>
      <c r="C13" s="1">
        <v>79.986968994140625</v>
      </c>
      <c r="D13">
        <v>35361</v>
      </c>
      <c r="E13">
        <v>206223</v>
      </c>
      <c r="F13">
        <v>14</v>
      </c>
      <c r="G13">
        <v>241598</v>
      </c>
      <c r="H13" s="4">
        <v>50720</v>
      </c>
      <c r="I13" s="4">
        <v>107816</v>
      </c>
      <c r="J13" s="4">
        <v>18629</v>
      </c>
      <c r="K13" s="4">
        <v>126445</v>
      </c>
      <c r="L13">
        <v>64433</v>
      </c>
      <c r="M13">
        <v>2.5</v>
      </c>
      <c r="N13">
        <v>127158</v>
      </c>
      <c r="O13">
        <v>441748</v>
      </c>
      <c r="P13" s="3">
        <v>4516926190</v>
      </c>
      <c r="Q13">
        <v>230008</v>
      </c>
      <c r="R13" s="3">
        <v>11843441094928.699</v>
      </c>
      <c r="S13" s="3">
        <v>3207.0410000000002</v>
      </c>
      <c r="T13" s="3">
        <v>42.414999999999999</v>
      </c>
      <c r="U13">
        <f t="shared" si="0"/>
        <v>177165</v>
      </c>
      <c r="V13" s="11">
        <v>35.1</v>
      </c>
      <c r="W13" s="19">
        <v>515.20000000000005</v>
      </c>
    </row>
    <row r="14" spans="1:23" x14ac:dyDescent="0.3">
      <c r="A14">
        <v>1982</v>
      </c>
      <c r="B14" s="1">
        <v>99.1051025390625</v>
      </c>
      <c r="C14" s="1">
        <v>89.91021728515625</v>
      </c>
      <c r="D14">
        <v>64433</v>
      </c>
      <c r="E14">
        <v>209181</v>
      </c>
      <c r="F14">
        <v>12</v>
      </c>
      <c r="G14">
        <v>273626</v>
      </c>
      <c r="H14" s="4">
        <v>46264</v>
      </c>
      <c r="I14" s="4">
        <v>116166</v>
      </c>
      <c r="J14" s="4">
        <v>21705</v>
      </c>
      <c r="K14" s="4">
        <v>137871</v>
      </c>
      <c r="L14">
        <v>89491</v>
      </c>
      <c r="M14">
        <v>2.5499999999999998</v>
      </c>
      <c r="N14">
        <v>149764</v>
      </c>
      <c r="O14">
        <v>439854</v>
      </c>
      <c r="P14" s="3">
        <v>4599539241</v>
      </c>
      <c r="Q14">
        <v>232218</v>
      </c>
      <c r="R14" s="3">
        <v>11719276657617.9</v>
      </c>
      <c r="S14" s="3">
        <v>3343.7890000000002</v>
      </c>
      <c r="T14" s="3">
        <v>44.771000000000001</v>
      </c>
      <c r="U14">
        <f t="shared" si="0"/>
        <v>184135</v>
      </c>
      <c r="V14" s="11">
        <v>36.5</v>
      </c>
      <c r="W14" s="19">
        <v>316.7</v>
      </c>
    </row>
    <row r="15" spans="1:23" x14ac:dyDescent="0.3">
      <c r="A15">
        <v>1983</v>
      </c>
      <c r="B15" s="1">
        <v>100.80005645751953</v>
      </c>
      <c r="C15" s="1">
        <v>99.970367431640625</v>
      </c>
      <c r="D15">
        <v>89491</v>
      </c>
      <c r="E15">
        <v>106031</v>
      </c>
      <c r="F15">
        <v>43</v>
      </c>
      <c r="G15">
        <v>195565</v>
      </c>
      <c r="H15" s="4">
        <v>47917</v>
      </c>
      <c r="I15" s="4">
        <v>98462</v>
      </c>
      <c r="J15" s="4">
        <v>23625</v>
      </c>
      <c r="K15" s="4">
        <v>122087</v>
      </c>
      <c r="L15">
        <v>25561</v>
      </c>
      <c r="M15">
        <v>3.21</v>
      </c>
      <c r="N15">
        <v>88982</v>
      </c>
      <c r="O15">
        <v>348338</v>
      </c>
      <c r="P15" s="3">
        <v>4682924536</v>
      </c>
      <c r="Q15">
        <v>234333</v>
      </c>
      <c r="R15" s="3">
        <v>11962974794875.199</v>
      </c>
      <c r="S15" s="3">
        <v>3634.0369999999998</v>
      </c>
      <c r="T15" s="3">
        <v>46.676000000000002</v>
      </c>
      <c r="U15">
        <f t="shared" si="0"/>
        <v>170004</v>
      </c>
      <c r="V15" s="11">
        <v>37.299999999999997</v>
      </c>
      <c r="W15" s="19">
        <v>204.5</v>
      </c>
    </row>
    <row r="16" spans="1:23" x14ac:dyDescent="0.3">
      <c r="A16">
        <v>1984</v>
      </c>
      <c r="B16" s="1">
        <v>102.09542846679688</v>
      </c>
      <c r="C16" s="1">
        <v>102.4085693359375</v>
      </c>
      <c r="D16">
        <v>25561</v>
      </c>
      <c r="E16">
        <v>194881</v>
      </c>
      <c r="F16">
        <v>44</v>
      </c>
      <c r="G16">
        <v>220486</v>
      </c>
      <c r="H16" s="4">
        <v>46999</v>
      </c>
      <c r="I16" s="4">
        <v>104513</v>
      </c>
      <c r="J16" s="4">
        <v>27108</v>
      </c>
      <c r="K16" s="4">
        <v>131621</v>
      </c>
      <c r="L16">
        <v>41866</v>
      </c>
      <c r="M16">
        <v>2.63</v>
      </c>
      <c r="N16">
        <v>118153</v>
      </c>
      <c r="O16">
        <v>458316</v>
      </c>
      <c r="P16" s="3">
        <v>4766040300</v>
      </c>
      <c r="Q16">
        <v>236394</v>
      </c>
      <c r="R16" s="3">
        <v>12427957579028</v>
      </c>
      <c r="S16" s="3">
        <v>4037.614</v>
      </c>
      <c r="T16" s="3">
        <v>48.439</v>
      </c>
      <c r="U16">
        <f t="shared" si="0"/>
        <v>178620</v>
      </c>
      <c r="V16" s="11">
        <v>38.700000000000003</v>
      </c>
      <c r="W16" s="19">
        <v>215.2</v>
      </c>
    </row>
    <row r="17" spans="1:23" x14ac:dyDescent="0.3">
      <c r="A17">
        <v>1985</v>
      </c>
      <c r="B17" s="1">
        <v>98.704330444335938</v>
      </c>
      <c r="C17" s="1">
        <v>88.385055541992188</v>
      </c>
      <c r="D17">
        <v>41866</v>
      </c>
      <c r="E17">
        <v>225447</v>
      </c>
      <c r="F17">
        <v>251</v>
      </c>
      <c r="G17">
        <v>267564</v>
      </c>
      <c r="H17" s="4">
        <v>31176</v>
      </c>
      <c r="I17" s="4">
        <v>104505</v>
      </c>
      <c r="J17" s="4">
        <v>29274</v>
      </c>
      <c r="K17" s="4">
        <v>133779</v>
      </c>
      <c r="L17">
        <v>102609</v>
      </c>
      <c r="M17">
        <v>2.23</v>
      </c>
      <c r="N17">
        <v>177678</v>
      </c>
      <c r="O17">
        <v>478821</v>
      </c>
      <c r="P17" s="3">
        <v>4850740788</v>
      </c>
      <c r="Q17">
        <v>238506</v>
      </c>
      <c r="R17" s="3">
        <v>13016982447733.199</v>
      </c>
      <c r="S17" s="3">
        <v>4338.9809999999998</v>
      </c>
      <c r="T17" s="3">
        <v>50.128</v>
      </c>
      <c r="U17">
        <f t="shared" si="0"/>
        <v>164955</v>
      </c>
      <c r="V17" s="11">
        <v>39.6</v>
      </c>
      <c r="W17" s="19">
        <v>171.2</v>
      </c>
    </row>
    <row r="18" spans="1:23" x14ac:dyDescent="0.3">
      <c r="A18">
        <v>1986</v>
      </c>
      <c r="B18" s="1">
        <v>96.204750061035156</v>
      </c>
      <c r="C18" s="1">
        <v>81.497161865234375</v>
      </c>
      <c r="D18">
        <v>102609</v>
      </c>
      <c r="E18">
        <v>208944</v>
      </c>
      <c r="F18">
        <v>45</v>
      </c>
      <c r="G18">
        <v>311598</v>
      </c>
      <c r="H18" s="4">
        <v>37911</v>
      </c>
      <c r="I18" s="4">
        <v>118356</v>
      </c>
      <c r="J18" s="4">
        <v>31330</v>
      </c>
      <c r="K18" s="4">
        <v>149686</v>
      </c>
      <c r="L18">
        <v>124001</v>
      </c>
      <c r="M18">
        <v>1.5</v>
      </c>
      <c r="N18">
        <v>204863</v>
      </c>
      <c r="O18">
        <v>475259</v>
      </c>
      <c r="P18" s="3">
        <v>4937711562</v>
      </c>
      <c r="Q18">
        <v>240683</v>
      </c>
      <c r="R18" s="3">
        <v>15348439146362.6</v>
      </c>
      <c r="S18" s="3">
        <v>4579.6329999999998</v>
      </c>
      <c r="T18" s="3">
        <v>51.219000000000001</v>
      </c>
      <c r="U18">
        <f t="shared" si="0"/>
        <v>187597</v>
      </c>
      <c r="V18" s="11">
        <v>40.9</v>
      </c>
      <c r="W18" s="19">
        <v>110.6</v>
      </c>
    </row>
    <row r="19" spans="1:23" x14ac:dyDescent="0.3">
      <c r="A19">
        <v>1987</v>
      </c>
      <c r="B19" s="1">
        <v>86.343116760253906</v>
      </c>
      <c r="C19" s="1">
        <v>79.408096313476563</v>
      </c>
      <c r="D19">
        <v>124001</v>
      </c>
      <c r="E19">
        <v>181143</v>
      </c>
      <c r="F19">
        <v>87</v>
      </c>
      <c r="G19">
        <v>305231</v>
      </c>
      <c r="H19" s="4">
        <v>43599</v>
      </c>
      <c r="I19" s="4">
        <v>121652</v>
      </c>
      <c r="J19" s="4">
        <v>31794</v>
      </c>
      <c r="K19" s="4">
        <v>153446</v>
      </c>
      <c r="L19">
        <v>108186</v>
      </c>
      <c r="M19">
        <v>1.94</v>
      </c>
      <c r="N19">
        <v>197674</v>
      </c>
      <c r="O19">
        <v>450722</v>
      </c>
      <c r="P19" s="3">
        <v>5027030278</v>
      </c>
      <c r="Q19">
        <v>242843</v>
      </c>
      <c r="R19" s="3">
        <v>17472239624529</v>
      </c>
      <c r="S19" s="3">
        <v>4855.2160000000003</v>
      </c>
      <c r="T19" s="3">
        <v>52.802</v>
      </c>
      <c r="U19">
        <f t="shared" si="0"/>
        <v>197045</v>
      </c>
      <c r="V19" s="11">
        <v>42.6</v>
      </c>
      <c r="W19" s="19">
        <v>177.3</v>
      </c>
    </row>
    <row r="20" spans="1:23" x14ac:dyDescent="0.3">
      <c r="A20">
        <v>1988</v>
      </c>
      <c r="B20" s="1">
        <v>88.247077941894531</v>
      </c>
      <c r="C20" s="1">
        <v>94.016883850097656</v>
      </c>
      <c r="D20">
        <v>108186</v>
      </c>
      <c r="E20">
        <v>125194</v>
      </c>
      <c r="F20">
        <v>71</v>
      </c>
      <c r="G20">
        <v>233451</v>
      </c>
      <c r="H20" s="4">
        <v>51525</v>
      </c>
      <c r="I20" s="4">
        <v>99926</v>
      </c>
      <c r="J20" s="4">
        <v>32965</v>
      </c>
      <c r="K20" s="4">
        <v>132891</v>
      </c>
      <c r="L20">
        <v>49035</v>
      </c>
      <c r="M20">
        <v>2.54</v>
      </c>
      <c r="N20">
        <v>145252</v>
      </c>
      <c r="O20">
        <v>400350</v>
      </c>
      <c r="P20" s="3">
        <v>5117167006</v>
      </c>
      <c r="Q20">
        <v>245061</v>
      </c>
      <c r="R20" s="3">
        <v>19524821807843.898</v>
      </c>
      <c r="S20" s="3">
        <v>5236.4380000000001</v>
      </c>
      <c r="T20" s="3">
        <v>54.865000000000002</v>
      </c>
      <c r="U20">
        <f t="shared" si="0"/>
        <v>184416</v>
      </c>
      <c r="V20" s="11">
        <v>44.3</v>
      </c>
      <c r="W20" s="19">
        <v>234.8</v>
      </c>
    </row>
    <row r="21" spans="1:23" x14ac:dyDescent="0.3">
      <c r="A21">
        <v>1989</v>
      </c>
      <c r="B21" s="1">
        <v>90.934188842773438</v>
      </c>
      <c r="C21" s="1">
        <v>84.0772705078125</v>
      </c>
      <c r="D21">
        <v>49035</v>
      </c>
      <c r="E21">
        <v>191320</v>
      </c>
      <c r="F21">
        <v>48</v>
      </c>
      <c r="G21">
        <v>240403</v>
      </c>
      <c r="H21" s="4">
        <v>60132</v>
      </c>
      <c r="I21" s="4">
        <v>111320</v>
      </c>
      <c r="J21" s="4">
        <v>34800</v>
      </c>
      <c r="K21" s="4">
        <v>146120</v>
      </c>
      <c r="L21">
        <v>34151</v>
      </c>
      <c r="M21">
        <v>2.36</v>
      </c>
      <c r="N21">
        <v>132866</v>
      </c>
      <c r="O21">
        <v>461517</v>
      </c>
      <c r="P21" s="3">
        <v>5207654866</v>
      </c>
      <c r="Q21">
        <v>247387</v>
      </c>
      <c r="R21" s="3">
        <v>20395813960211</v>
      </c>
      <c r="S21" s="3">
        <v>5641.58</v>
      </c>
      <c r="T21" s="3">
        <v>57.261000000000003</v>
      </c>
      <c r="U21">
        <f t="shared" si="0"/>
        <v>206252</v>
      </c>
      <c r="V21" s="11">
        <v>46.8</v>
      </c>
      <c r="W21" s="19">
        <v>218.2</v>
      </c>
    </row>
    <row r="22" spans="1:23" x14ac:dyDescent="0.3">
      <c r="A22">
        <v>1990</v>
      </c>
      <c r="B22" s="1">
        <v>90.342483520507813</v>
      </c>
      <c r="C22" s="1">
        <v>84.066162109375</v>
      </c>
      <c r="D22">
        <v>34151</v>
      </c>
      <c r="E22">
        <v>201534</v>
      </c>
      <c r="F22">
        <v>87</v>
      </c>
      <c r="G22">
        <v>235772</v>
      </c>
      <c r="H22" s="4">
        <v>43858</v>
      </c>
      <c r="I22" s="4">
        <v>117072</v>
      </c>
      <c r="J22" s="4">
        <v>36201</v>
      </c>
      <c r="K22" s="4">
        <v>153273</v>
      </c>
      <c r="L22">
        <v>38641</v>
      </c>
      <c r="M22">
        <v>2.2799999999999998</v>
      </c>
      <c r="N22">
        <v>141402</v>
      </c>
      <c r="O22">
        <v>481763</v>
      </c>
      <c r="P22" s="3">
        <v>5299246757</v>
      </c>
      <c r="Q22">
        <v>250181</v>
      </c>
      <c r="R22" s="3">
        <v>22922751084575</v>
      </c>
      <c r="S22" s="3">
        <v>5963.1450000000004</v>
      </c>
      <c r="T22" s="3">
        <v>59.774999999999999</v>
      </c>
      <c r="U22">
        <f t="shared" si="0"/>
        <v>197131</v>
      </c>
      <c r="V22" s="11">
        <v>49.5</v>
      </c>
      <c r="W22" s="19">
        <v>234.8</v>
      </c>
    </row>
    <row r="23" spans="1:23" x14ac:dyDescent="0.3">
      <c r="A23">
        <v>1991</v>
      </c>
      <c r="B23" s="1">
        <v>86.577346801757813</v>
      </c>
      <c r="C23" s="1">
        <v>82.594825744628906</v>
      </c>
      <c r="D23">
        <v>38641</v>
      </c>
      <c r="E23">
        <v>189868</v>
      </c>
      <c r="F23">
        <v>499</v>
      </c>
      <c r="G23">
        <v>229008</v>
      </c>
      <c r="H23" s="4">
        <v>40233</v>
      </c>
      <c r="I23" s="4">
        <v>121873</v>
      </c>
      <c r="J23" s="4">
        <v>38953</v>
      </c>
      <c r="K23" s="4">
        <v>160826</v>
      </c>
      <c r="L23">
        <v>27949</v>
      </c>
      <c r="M23">
        <v>2.37</v>
      </c>
      <c r="N23">
        <v>141055</v>
      </c>
      <c r="O23">
        <v>492711</v>
      </c>
      <c r="P23" s="3">
        <v>5388496229</v>
      </c>
      <c r="Q23">
        <v>253530</v>
      </c>
      <c r="R23" s="3">
        <v>23920903881560.898</v>
      </c>
      <c r="S23" s="3">
        <v>6158.1289999999999</v>
      </c>
      <c r="T23" s="3">
        <v>61.774000000000001</v>
      </c>
      <c r="U23">
        <f t="shared" si="0"/>
        <v>201059</v>
      </c>
      <c r="V23" s="11">
        <v>51.3</v>
      </c>
      <c r="W23" s="19">
        <v>190.9</v>
      </c>
    </row>
    <row r="24" spans="1:23" x14ac:dyDescent="0.3">
      <c r="A24">
        <v>1992</v>
      </c>
      <c r="B24" s="1">
        <v>83.473403930664063</v>
      </c>
      <c r="C24" s="1">
        <v>86.182106018066406</v>
      </c>
      <c r="D24">
        <v>27949</v>
      </c>
      <c r="E24">
        <v>240719</v>
      </c>
      <c r="F24">
        <v>180</v>
      </c>
      <c r="G24">
        <v>268848</v>
      </c>
      <c r="H24" s="4">
        <v>42249</v>
      </c>
      <c r="I24" s="4">
        <v>133409</v>
      </c>
      <c r="J24" s="4">
        <v>39518</v>
      </c>
      <c r="K24" s="4">
        <v>172927</v>
      </c>
      <c r="L24">
        <v>53672</v>
      </c>
      <c r="M24">
        <v>2.0699999999999998</v>
      </c>
      <c r="N24">
        <v>162740</v>
      </c>
      <c r="O24">
        <v>535646</v>
      </c>
      <c r="P24" s="3">
        <v>5477123966</v>
      </c>
      <c r="Q24">
        <v>256922</v>
      </c>
      <c r="R24" s="3">
        <v>25546959069356.801</v>
      </c>
      <c r="S24" s="3">
        <v>6520.3270000000002</v>
      </c>
      <c r="T24" s="3">
        <v>63.42</v>
      </c>
      <c r="U24">
        <f t="shared" si="0"/>
        <v>215176</v>
      </c>
      <c r="V24" s="11">
        <v>52</v>
      </c>
      <c r="W24" s="19">
        <v>131.80000000000001</v>
      </c>
    </row>
    <row r="25" spans="1:23" x14ac:dyDescent="0.3">
      <c r="A25">
        <v>1993</v>
      </c>
      <c r="B25" s="1">
        <v>81.141952514648438</v>
      </c>
      <c r="C25" s="1">
        <v>84.289794921875</v>
      </c>
      <c r="D25">
        <v>53672</v>
      </c>
      <c r="E25">
        <v>160986</v>
      </c>
      <c r="F25">
        <v>529</v>
      </c>
      <c r="G25">
        <v>215187</v>
      </c>
      <c r="H25" s="4">
        <v>33741</v>
      </c>
      <c r="I25" s="4">
        <v>118874</v>
      </c>
      <c r="J25" s="4">
        <v>40977</v>
      </c>
      <c r="K25" s="4">
        <v>159851</v>
      </c>
      <c r="L25">
        <v>21595</v>
      </c>
      <c r="M25">
        <v>2.5</v>
      </c>
      <c r="N25">
        <v>129444</v>
      </c>
      <c r="O25">
        <v>475859</v>
      </c>
      <c r="P25" s="3">
        <v>5564778621</v>
      </c>
      <c r="Q25">
        <v>260282</v>
      </c>
      <c r="R25" s="3">
        <v>25974923485795.5</v>
      </c>
      <c r="S25" s="3">
        <v>6858.5590000000002</v>
      </c>
      <c r="T25" s="3">
        <v>65</v>
      </c>
      <c r="U25">
        <f t="shared" si="0"/>
        <v>193592</v>
      </c>
      <c r="V25" s="11">
        <v>53.1</v>
      </c>
      <c r="W25" s="19">
        <v>140.9</v>
      </c>
    </row>
    <row r="26" spans="1:23" x14ac:dyDescent="0.3">
      <c r="A26">
        <v>1994</v>
      </c>
      <c r="B26" s="1">
        <v>85.531700134277344</v>
      </c>
      <c r="C26" s="1">
        <v>77.336288452148438</v>
      </c>
      <c r="D26">
        <v>21595</v>
      </c>
      <c r="E26">
        <v>255295</v>
      </c>
      <c r="F26">
        <v>243</v>
      </c>
      <c r="G26">
        <v>277133</v>
      </c>
      <c r="H26" s="4">
        <v>55311</v>
      </c>
      <c r="I26" s="4">
        <v>138682</v>
      </c>
      <c r="J26" s="4">
        <v>43569</v>
      </c>
      <c r="K26" s="4">
        <v>182251</v>
      </c>
      <c r="L26">
        <v>39571</v>
      </c>
      <c r="M26">
        <v>2.2599999999999998</v>
      </c>
      <c r="N26">
        <v>153348</v>
      </c>
      <c r="O26">
        <v>559592</v>
      </c>
      <c r="P26" s="3">
        <v>5650853178</v>
      </c>
      <c r="Q26">
        <v>263455</v>
      </c>
      <c r="R26" s="3">
        <v>27961448359307.602</v>
      </c>
      <c r="S26" s="3">
        <v>7287.2370000000001</v>
      </c>
      <c r="T26" s="3">
        <v>66.356999999999999</v>
      </c>
      <c r="U26">
        <f t="shared" si="0"/>
        <v>237562</v>
      </c>
      <c r="V26" s="11">
        <v>54.3</v>
      </c>
      <c r="W26" s="19">
        <v>125.8</v>
      </c>
    </row>
    <row r="27" spans="1:23" x14ac:dyDescent="0.3">
      <c r="A27">
        <v>1995</v>
      </c>
      <c r="B27" s="1">
        <v>86.893562316894531</v>
      </c>
      <c r="C27" s="1">
        <v>77.72540283203125</v>
      </c>
      <c r="D27">
        <v>39571</v>
      </c>
      <c r="E27">
        <v>187970</v>
      </c>
      <c r="F27">
        <v>419</v>
      </c>
      <c r="G27">
        <v>227960</v>
      </c>
      <c r="H27" s="4">
        <v>56589</v>
      </c>
      <c r="I27" s="4">
        <v>119150</v>
      </c>
      <c r="J27" s="4">
        <v>41402</v>
      </c>
      <c r="K27" s="4">
        <v>160552</v>
      </c>
      <c r="L27">
        <v>10819</v>
      </c>
      <c r="M27">
        <v>3.24</v>
      </c>
      <c r="N27">
        <v>133286</v>
      </c>
      <c r="O27">
        <v>516694</v>
      </c>
      <c r="P27" s="3">
        <v>5736505517</v>
      </c>
      <c r="Q27">
        <v>266588</v>
      </c>
      <c r="R27" s="3">
        <v>31245419629026</v>
      </c>
      <c r="S27" s="3">
        <v>7639.7489999999998</v>
      </c>
      <c r="T27" s="3">
        <v>67.754000000000005</v>
      </c>
      <c r="U27">
        <f t="shared" si="0"/>
        <v>217141</v>
      </c>
      <c r="V27" s="11">
        <v>55.8</v>
      </c>
      <c r="W27" s="19">
        <v>121.2</v>
      </c>
    </row>
    <row r="28" spans="1:23" x14ac:dyDescent="0.3">
      <c r="A28">
        <v>1996</v>
      </c>
      <c r="B28" s="1">
        <v>87.71954345703125</v>
      </c>
      <c r="C28" s="1">
        <v>83.900634765625</v>
      </c>
      <c r="D28">
        <v>10819</v>
      </c>
      <c r="E28">
        <v>234518</v>
      </c>
      <c r="F28">
        <v>337</v>
      </c>
      <c r="G28">
        <v>245674</v>
      </c>
      <c r="H28" s="4">
        <v>45655</v>
      </c>
      <c r="I28" s="4">
        <v>133992</v>
      </c>
      <c r="J28" s="4">
        <v>43594</v>
      </c>
      <c r="K28" s="4">
        <v>177586</v>
      </c>
      <c r="L28">
        <v>22433</v>
      </c>
      <c r="M28">
        <v>2.71</v>
      </c>
      <c r="N28">
        <v>166319</v>
      </c>
      <c r="O28">
        <v>592897</v>
      </c>
      <c r="P28" s="3">
        <v>5822614627</v>
      </c>
      <c r="Q28">
        <v>269714</v>
      </c>
      <c r="R28" s="3">
        <v>31968950237590.699</v>
      </c>
      <c r="S28" s="3">
        <v>8073.1220000000003</v>
      </c>
      <c r="T28" s="3">
        <v>69.203000000000003</v>
      </c>
      <c r="U28">
        <f t="shared" si="0"/>
        <v>223241</v>
      </c>
      <c r="V28" s="11">
        <v>57.6</v>
      </c>
      <c r="W28" s="19">
        <v>107.6</v>
      </c>
    </row>
    <row r="29" spans="1:23" x14ac:dyDescent="0.3">
      <c r="A29">
        <v>1997</v>
      </c>
      <c r="B29" s="1">
        <v>94.477149963378906</v>
      </c>
      <c r="C29" s="1">
        <v>87.958404541015625</v>
      </c>
      <c r="D29">
        <v>22433</v>
      </c>
      <c r="E29">
        <v>233864</v>
      </c>
      <c r="F29">
        <v>224</v>
      </c>
      <c r="G29">
        <v>256521</v>
      </c>
      <c r="H29" s="4">
        <v>38214</v>
      </c>
      <c r="I29" s="4">
        <v>138382</v>
      </c>
      <c r="J29" s="4">
        <v>46705</v>
      </c>
      <c r="K29" s="4">
        <v>185087</v>
      </c>
      <c r="L29">
        <v>33220</v>
      </c>
      <c r="M29">
        <v>2.4300000000000002</v>
      </c>
      <c r="N29">
        <v>167202</v>
      </c>
      <c r="O29">
        <v>574161</v>
      </c>
      <c r="P29" s="3">
        <v>5908466558</v>
      </c>
      <c r="Q29">
        <v>272958</v>
      </c>
      <c r="R29" s="3">
        <v>31870560107975.699</v>
      </c>
      <c r="S29" s="3">
        <v>8577.5529999999999</v>
      </c>
      <c r="T29" s="3">
        <v>70.406999999999996</v>
      </c>
      <c r="U29">
        <f t="shared" si="0"/>
        <v>223301</v>
      </c>
      <c r="V29" s="11">
        <v>59.2</v>
      </c>
      <c r="W29" s="19">
        <v>95.5</v>
      </c>
    </row>
    <row r="30" spans="1:23" x14ac:dyDescent="0.3">
      <c r="A30">
        <v>1998</v>
      </c>
      <c r="B30" s="1">
        <v>90.744613647460938</v>
      </c>
      <c r="C30" s="1">
        <v>95.42041015625</v>
      </c>
      <c r="D30">
        <v>33220</v>
      </c>
      <c r="E30">
        <v>247882</v>
      </c>
      <c r="F30">
        <v>478</v>
      </c>
      <c r="G30">
        <v>281580</v>
      </c>
      <c r="H30" s="4">
        <v>50401</v>
      </c>
      <c r="I30" s="4">
        <v>138432</v>
      </c>
      <c r="J30" s="4">
        <v>47356</v>
      </c>
      <c r="K30" s="4">
        <v>185788</v>
      </c>
      <c r="L30">
        <v>45391</v>
      </c>
      <c r="M30">
        <v>1.94</v>
      </c>
      <c r="N30">
        <v>191363</v>
      </c>
      <c r="O30">
        <v>605805</v>
      </c>
      <c r="P30" s="3">
        <v>5994040064</v>
      </c>
      <c r="Q30">
        <v>276154</v>
      </c>
      <c r="R30" s="3">
        <v>31733749169046.699</v>
      </c>
      <c r="S30" s="3">
        <v>9062.8169999999991</v>
      </c>
      <c r="T30" s="3">
        <v>70.966999999999999</v>
      </c>
      <c r="U30">
        <f t="shared" si="0"/>
        <v>236189</v>
      </c>
      <c r="V30" s="11">
        <v>60.4</v>
      </c>
      <c r="W30" s="19">
        <v>65.2</v>
      </c>
    </row>
    <row r="31" spans="1:23" x14ac:dyDescent="0.3">
      <c r="A31">
        <v>1999</v>
      </c>
      <c r="B31" s="1">
        <v>90.397735595703125</v>
      </c>
      <c r="C31" s="1">
        <v>104.23922729492188</v>
      </c>
      <c r="D31">
        <v>45391</v>
      </c>
      <c r="E31">
        <v>239549</v>
      </c>
      <c r="F31">
        <v>375</v>
      </c>
      <c r="G31">
        <v>285315</v>
      </c>
      <c r="H31" s="4">
        <v>49191</v>
      </c>
      <c r="I31" s="4">
        <v>143259</v>
      </c>
      <c r="J31" s="4">
        <v>49237</v>
      </c>
      <c r="K31" s="4">
        <v>192496</v>
      </c>
      <c r="L31">
        <v>43628</v>
      </c>
      <c r="M31">
        <v>1.82</v>
      </c>
      <c r="N31">
        <v>194407</v>
      </c>
      <c r="O31">
        <v>608082</v>
      </c>
      <c r="P31" s="3">
        <v>6078404337</v>
      </c>
      <c r="Q31">
        <v>279328</v>
      </c>
      <c r="R31" s="3">
        <v>32782827769545.301</v>
      </c>
      <c r="S31" s="3">
        <v>9631.1720000000005</v>
      </c>
      <c r="T31" s="3">
        <v>72.001000000000005</v>
      </c>
      <c r="U31">
        <f t="shared" si="0"/>
        <v>241687</v>
      </c>
      <c r="V31" s="11">
        <v>61.7</v>
      </c>
      <c r="W31" s="19">
        <v>97</v>
      </c>
    </row>
    <row r="32" spans="1:23" x14ac:dyDescent="0.3">
      <c r="A32">
        <v>2000</v>
      </c>
      <c r="B32" s="1">
        <v>95.705078125</v>
      </c>
      <c r="C32" s="1">
        <v>110.65268707275391</v>
      </c>
      <c r="D32">
        <v>43628</v>
      </c>
      <c r="E32">
        <v>251854</v>
      </c>
      <c r="F32">
        <v>173</v>
      </c>
      <c r="G32">
        <v>295655</v>
      </c>
      <c r="H32" s="4">
        <v>49313</v>
      </c>
      <c r="I32" s="4">
        <v>147807</v>
      </c>
      <c r="J32" s="4">
        <v>50295</v>
      </c>
      <c r="K32" s="4">
        <v>198102</v>
      </c>
      <c r="L32">
        <v>48240</v>
      </c>
      <c r="M32">
        <v>1.85</v>
      </c>
      <c r="N32">
        <v>175136</v>
      </c>
      <c r="O32">
        <v>591538</v>
      </c>
      <c r="P32" s="3">
        <v>6161884811</v>
      </c>
      <c r="Q32">
        <v>282398</v>
      </c>
      <c r="R32" s="3">
        <v>33898156427205.898</v>
      </c>
      <c r="S32" s="3">
        <v>10250.951999999999</v>
      </c>
      <c r="T32" s="3">
        <v>73.822000000000003</v>
      </c>
      <c r="U32">
        <f t="shared" si="0"/>
        <v>247415</v>
      </c>
      <c r="V32" s="11">
        <v>63.1</v>
      </c>
      <c r="W32" s="19">
        <v>148.5</v>
      </c>
    </row>
    <row r="33" spans="1:23" x14ac:dyDescent="0.3">
      <c r="A33">
        <v>2001</v>
      </c>
      <c r="B33" s="1">
        <v>97.411094665527344</v>
      </c>
      <c r="C33" s="1">
        <v>117.24627685546875</v>
      </c>
      <c r="D33">
        <v>48240</v>
      </c>
      <c r="E33">
        <v>241377</v>
      </c>
      <c r="F33">
        <v>258</v>
      </c>
      <c r="G33">
        <v>289875</v>
      </c>
      <c r="H33" s="4">
        <v>48383</v>
      </c>
      <c r="I33" s="4">
        <v>148475</v>
      </c>
      <c r="J33" s="4">
        <v>52466</v>
      </c>
      <c r="K33" s="4">
        <v>200941</v>
      </c>
      <c r="L33">
        <v>40551</v>
      </c>
      <c r="M33">
        <v>1.97</v>
      </c>
      <c r="N33">
        <v>151409</v>
      </c>
      <c r="O33">
        <v>601652</v>
      </c>
      <c r="P33" s="3">
        <v>6245112906</v>
      </c>
      <c r="Q33">
        <v>285225</v>
      </c>
      <c r="R33" s="3">
        <v>33690417699612.699</v>
      </c>
      <c r="S33" s="3">
        <v>10581.929</v>
      </c>
      <c r="T33" s="3">
        <v>75.302000000000007</v>
      </c>
      <c r="U33">
        <f t="shared" si="0"/>
        <v>249324</v>
      </c>
      <c r="V33" s="11">
        <v>65.099999999999994</v>
      </c>
      <c r="W33" s="19">
        <v>121.2</v>
      </c>
    </row>
    <row r="34" spans="1:23" x14ac:dyDescent="0.3">
      <c r="A34">
        <v>2002</v>
      </c>
      <c r="B34" s="1">
        <v>99.173980712890625</v>
      </c>
      <c r="C34" s="1">
        <v>103.79281616210938</v>
      </c>
      <c r="D34">
        <v>40551</v>
      </c>
      <c r="E34">
        <v>227767</v>
      </c>
      <c r="F34">
        <v>367</v>
      </c>
      <c r="G34">
        <v>268685</v>
      </c>
      <c r="H34" s="4">
        <v>40334</v>
      </c>
      <c r="I34" s="4">
        <v>140838</v>
      </c>
      <c r="J34" s="4">
        <v>59910</v>
      </c>
      <c r="K34" s="4">
        <v>200748</v>
      </c>
      <c r="L34">
        <v>27603</v>
      </c>
      <c r="M34">
        <v>2.3199999999999998</v>
      </c>
      <c r="N34">
        <v>126942</v>
      </c>
      <c r="O34">
        <v>604110</v>
      </c>
      <c r="P34" s="3">
        <v>6327557399</v>
      </c>
      <c r="Q34">
        <v>287955</v>
      </c>
      <c r="R34" s="3">
        <v>34991525564916.898</v>
      </c>
      <c r="S34" s="3">
        <v>10929.108</v>
      </c>
      <c r="T34" s="3">
        <v>76.290999999999997</v>
      </c>
      <c r="U34">
        <f t="shared" si="0"/>
        <v>241082</v>
      </c>
      <c r="V34" s="11">
        <v>66.3</v>
      </c>
      <c r="W34" s="19">
        <v>104.5</v>
      </c>
    </row>
    <row r="35" spans="1:23" x14ac:dyDescent="0.3">
      <c r="A35">
        <v>2003</v>
      </c>
      <c r="B35" s="1">
        <v>96.531166076660156</v>
      </c>
      <c r="C35" s="1">
        <v>96.601188659667969</v>
      </c>
      <c r="D35">
        <v>27603</v>
      </c>
      <c r="E35">
        <v>256229</v>
      </c>
      <c r="F35">
        <v>358</v>
      </c>
      <c r="G35">
        <v>284190</v>
      </c>
      <c r="H35" s="4">
        <v>48258</v>
      </c>
      <c r="I35" s="4">
        <v>146759</v>
      </c>
      <c r="J35" s="4">
        <v>64836</v>
      </c>
      <c r="K35" s="4">
        <v>211595</v>
      </c>
      <c r="L35">
        <v>24337</v>
      </c>
      <c r="M35">
        <v>2.42</v>
      </c>
      <c r="N35">
        <v>104701</v>
      </c>
      <c r="O35">
        <v>627532</v>
      </c>
      <c r="P35" s="3">
        <v>6409750441</v>
      </c>
      <c r="Q35">
        <v>290626</v>
      </c>
      <c r="R35" s="3">
        <v>39243276986261.898</v>
      </c>
      <c r="S35" s="3">
        <v>11456.45</v>
      </c>
      <c r="T35" s="3">
        <v>77.894000000000005</v>
      </c>
      <c r="U35">
        <f t="shared" si="0"/>
        <v>259853</v>
      </c>
      <c r="V35" s="11">
        <v>67.7</v>
      </c>
      <c r="W35" s="19">
        <v>124.2</v>
      </c>
    </row>
    <row r="36" spans="1:23" x14ac:dyDescent="0.3">
      <c r="A36">
        <v>2004</v>
      </c>
      <c r="B36" s="1">
        <v>93.627532958984375</v>
      </c>
      <c r="C36" s="1">
        <v>92.980888366699219</v>
      </c>
      <c r="D36">
        <v>24337</v>
      </c>
      <c r="E36">
        <v>299876</v>
      </c>
      <c r="F36">
        <v>275</v>
      </c>
      <c r="G36">
        <v>324488</v>
      </c>
      <c r="H36" s="4">
        <v>46181</v>
      </c>
      <c r="I36" s="4">
        <v>155751</v>
      </c>
      <c r="J36" s="4">
        <v>68859</v>
      </c>
      <c r="K36" s="4">
        <v>224610</v>
      </c>
      <c r="L36">
        <v>53697</v>
      </c>
      <c r="M36">
        <v>2.06</v>
      </c>
      <c r="N36">
        <v>131156</v>
      </c>
      <c r="O36">
        <v>716904</v>
      </c>
      <c r="P36" s="3">
        <v>6492769815</v>
      </c>
      <c r="Q36">
        <v>293262</v>
      </c>
      <c r="R36" s="3">
        <v>44225384449869.797</v>
      </c>
      <c r="S36" s="3">
        <v>12217.196</v>
      </c>
      <c r="T36" s="3">
        <v>79.826999999999998</v>
      </c>
      <c r="U36">
        <f t="shared" si="0"/>
        <v>270791</v>
      </c>
      <c r="V36" s="11">
        <v>70</v>
      </c>
      <c r="W36" s="19">
        <v>180.3</v>
      </c>
    </row>
    <row r="37" spans="1:23" x14ac:dyDescent="0.3">
      <c r="A37">
        <v>2005</v>
      </c>
      <c r="B37" s="1">
        <v>94.789031982421875</v>
      </c>
      <c r="C37" s="1">
        <v>91.054237365722656</v>
      </c>
      <c r="D37">
        <v>53697</v>
      </c>
      <c r="E37">
        <v>282263</v>
      </c>
      <c r="F37">
        <v>224</v>
      </c>
      <c r="G37">
        <v>336184</v>
      </c>
      <c r="H37" s="4">
        <v>54201</v>
      </c>
      <c r="I37" s="4">
        <v>155234</v>
      </c>
      <c r="J37" s="4">
        <v>76781</v>
      </c>
      <c r="K37" s="4">
        <v>232015</v>
      </c>
      <c r="L37">
        <v>49968</v>
      </c>
      <c r="M37">
        <v>2</v>
      </c>
      <c r="N37">
        <v>123418</v>
      </c>
      <c r="O37">
        <v>699896</v>
      </c>
      <c r="P37" s="3">
        <v>6575841506</v>
      </c>
      <c r="Q37">
        <v>295993</v>
      </c>
      <c r="R37" s="3">
        <v>47900489808168.898</v>
      </c>
      <c r="S37" s="3">
        <v>13039.197</v>
      </c>
      <c r="T37" s="3">
        <v>82.126999999999995</v>
      </c>
      <c r="U37">
        <f t="shared" si="0"/>
        <v>286216</v>
      </c>
      <c r="V37" s="11">
        <v>71.7</v>
      </c>
      <c r="W37" s="19">
        <v>198.5</v>
      </c>
    </row>
    <row r="38" spans="1:23" x14ac:dyDescent="0.3">
      <c r="A38">
        <v>2006</v>
      </c>
      <c r="B38" s="1">
        <v>92.982452392578125</v>
      </c>
      <c r="C38" s="1">
        <v>84.098709106445313</v>
      </c>
      <c r="D38">
        <v>49968</v>
      </c>
      <c r="E38">
        <v>267503</v>
      </c>
      <c r="F38">
        <v>304</v>
      </c>
      <c r="G38">
        <v>317775</v>
      </c>
      <c r="H38" s="4">
        <v>53987</v>
      </c>
      <c r="I38" s="4">
        <v>140604</v>
      </c>
      <c r="J38" s="4">
        <v>90070</v>
      </c>
      <c r="K38" s="4">
        <v>230674</v>
      </c>
      <c r="L38">
        <v>33114</v>
      </c>
      <c r="M38">
        <v>3.04</v>
      </c>
      <c r="N38">
        <v>108756</v>
      </c>
      <c r="O38">
        <v>715299</v>
      </c>
      <c r="P38" s="3">
        <v>6659977025</v>
      </c>
      <c r="Q38">
        <v>298818</v>
      </c>
      <c r="R38" s="3">
        <v>51923507284496</v>
      </c>
      <c r="S38" s="3">
        <v>13815.583000000001</v>
      </c>
      <c r="T38" s="3">
        <v>84.44</v>
      </c>
      <c r="U38">
        <f t="shared" si="0"/>
        <v>284661</v>
      </c>
      <c r="V38" s="11">
        <v>73.400000000000006</v>
      </c>
      <c r="W38" s="19">
        <v>160.6</v>
      </c>
    </row>
    <row r="39" spans="1:23" x14ac:dyDescent="0.3">
      <c r="A39">
        <v>2007</v>
      </c>
      <c r="B39" s="1">
        <v>89.185111999511719</v>
      </c>
      <c r="C39" s="1">
        <v>79.869598388671875</v>
      </c>
      <c r="D39">
        <v>33114</v>
      </c>
      <c r="E39">
        <v>331177</v>
      </c>
      <c r="F39">
        <v>509</v>
      </c>
      <c r="G39">
        <v>364800</v>
      </c>
      <c r="H39" s="4">
        <v>61913</v>
      </c>
      <c r="I39" s="4">
        <v>148674</v>
      </c>
      <c r="J39" s="4">
        <v>112958</v>
      </c>
      <c r="K39" s="4">
        <v>261632</v>
      </c>
      <c r="L39">
        <v>41255</v>
      </c>
      <c r="M39">
        <v>4.2</v>
      </c>
      <c r="N39">
        <v>125362</v>
      </c>
      <c r="O39">
        <v>798462</v>
      </c>
      <c r="P39" s="3">
        <v>6744489399</v>
      </c>
      <c r="Q39">
        <v>301696</v>
      </c>
      <c r="R39" s="3">
        <v>58525785801185.797</v>
      </c>
      <c r="S39" s="3">
        <v>14474.227000000001</v>
      </c>
      <c r="T39" s="3">
        <v>86.606999999999999</v>
      </c>
      <c r="U39">
        <f t="shared" si="0"/>
        <v>323545</v>
      </c>
      <c r="V39" s="11">
        <v>76.3</v>
      </c>
      <c r="W39" s="19">
        <v>159.1</v>
      </c>
    </row>
    <row r="40" spans="1:23" x14ac:dyDescent="0.3">
      <c r="A40">
        <v>2008</v>
      </c>
      <c r="B40" s="1">
        <v>92.104118347167969</v>
      </c>
      <c r="C40" s="1">
        <v>84.344528198242188</v>
      </c>
      <c r="D40">
        <v>41255</v>
      </c>
      <c r="E40">
        <v>305911</v>
      </c>
      <c r="F40">
        <v>344</v>
      </c>
      <c r="G40">
        <v>347510</v>
      </c>
      <c r="H40" s="4">
        <v>46965</v>
      </c>
      <c r="I40" s="4">
        <v>130260</v>
      </c>
      <c r="J40" s="4">
        <v>127781</v>
      </c>
      <c r="K40" s="4">
        <v>258041</v>
      </c>
      <c r="L40">
        <v>42504</v>
      </c>
      <c r="M40">
        <v>4.0599999999999996</v>
      </c>
      <c r="N40">
        <v>136049</v>
      </c>
      <c r="O40">
        <v>806306</v>
      </c>
      <c r="P40" s="3">
        <v>6830513541</v>
      </c>
      <c r="Q40">
        <v>304543</v>
      </c>
      <c r="R40" s="3">
        <v>64311729364641.297</v>
      </c>
      <c r="S40" s="3">
        <v>14769.861999999999</v>
      </c>
      <c r="T40" s="3">
        <v>89.17</v>
      </c>
      <c r="U40">
        <f t="shared" si="0"/>
        <v>305006</v>
      </c>
      <c r="V40" s="11">
        <v>80.400000000000006</v>
      </c>
      <c r="W40" s="19">
        <v>113.6</v>
      </c>
    </row>
    <row r="41" spans="1:23" x14ac:dyDescent="0.3">
      <c r="A41">
        <v>2009</v>
      </c>
      <c r="B41" s="1">
        <v>85.875267028808594</v>
      </c>
      <c r="C41" s="1">
        <v>82.045845031738281</v>
      </c>
      <c r="D41">
        <v>42504</v>
      </c>
      <c r="E41">
        <v>331921</v>
      </c>
      <c r="F41">
        <v>212</v>
      </c>
      <c r="G41">
        <v>374637</v>
      </c>
      <c r="H41" s="4">
        <v>50270</v>
      </c>
      <c r="I41" s="4">
        <v>129434</v>
      </c>
      <c r="J41" s="4">
        <v>151553</v>
      </c>
      <c r="K41" s="4">
        <v>280987</v>
      </c>
      <c r="L41">
        <v>43380</v>
      </c>
      <c r="M41">
        <v>3.55</v>
      </c>
      <c r="N41">
        <v>131485</v>
      </c>
      <c r="O41">
        <v>833716</v>
      </c>
      <c r="P41" s="3">
        <v>6916589116</v>
      </c>
      <c r="Q41">
        <v>307240</v>
      </c>
      <c r="R41" s="3">
        <v>60982255960004.398</v>
      </c>
      <c r="S41" s="3">
        <v>14478.066999999999</v>
      </c>
      <c r="T41" s="3">
        <v>88.921000000000006</v>
      </c>
      <c r="U41">
        <f t="shared" si="0"/>
        <v>331257</v>
      </c>
      <c r="V41" s="11">
        <v>81.900000000000006</v>
      </c>
      <c r="W41" s="19">
        <v>12.1</v>
      </c>
    </row>
    <row r="42" spans="1:23" x14ac:dyDescent="0.3">
      <c r="A42">
        <v>2010</v>
      </c>
      <c r="B42" s="1">
        <v>82.576629638671875</v>
      </c>
      <c r="C42" s="1">
        <v>78.358200073242188</v>
      </c>
      <c r="D42">
        <v>43380</v>
      </c>
      <c r="E42">
        <v>315618</v>
      </c>
      <c r="F42">
        <v>703</v>
      </c>
      <c r="G42">
        <v>359701</v>
      </c>
      <c r="H42" s="4">
        <v>46508</v>
      </c>
      <c r="I42" s="4">
        <v>121167</v>
      </c>
      <c r="J42" s="4">
        <v>163382</v>
      </c>
      <c r="K42" s="4">
        <v>284549</v>
      </c>
      <c r="L42">
        <v>28644</v>
      </c>
      <c r="M42">
        <v>5.18</v>
      </c>
      <c r="N42">
        <v>114858</v>
      </c>
      <c r="O42">
        <v>849170</v>
      </c>
      <c r="P42" s="3">
        <v>7001266876</v>
      </c>
      <c r="Q42">
        <v>309839</v>
      </c>
      <c r="R42" s="3">
        <v>66811191491614.898</v>
      </c>
      <c r="S42" s="3">
        <v>15048.971</v>
      </c>
      <c r="T42" s="3">
        <v>90.513999999999996</v>
      </c>
      <c r="U42">
        <f t="shared" si="0"/>
        <v>331057</v>
      </c>
      <c r="V42" s="11">
        <v>82.5</v>
      </c>
      <c r="W42" s="19">
        <v>101.5</v>
      </c>
    </row>
    <row r="43" spans="1:23" x14ac:dyDescent="0.3">
      <c r="A43">
        <v>2011</v>
      </c>
      <c r="B43" s="1">
        <v>83.533126831054688</v>
      </c>
      <c r="C43" s="1">
        <v>83.055450439453125</v>
      </c>
      <c r="D43">
        <v>28644</v>
      </c>
      <c r="E43">
        <v>312789</v>
      </c>
      <c r="F43">
        <v>746</v>
      </c>
      <c r="G43">
        <v>342179</v>
      </c>
      <c r="H43" s="4">
        <v>39096</v>
      </c>
      <c r="I43" s="4">
        <v>114612</v>
      </c>
      <c r="J43" s="4">
        <v>163349</v>
      </c>
      <c r="K43" s="4">
        <v>277961</v>
      </c>
      <c r="L43">
        <v>25122</v>
      </c>
      <c r="M43">
        <v>6.22</v>
      </c>
      <c r="N43">
        <v>122848</v>
      </c>
      <c r="O43">
        <v>910355</v>
      </c>
      <c r="P43" s="3">
        <v>7087120034</v>
      </c>
      <c r="Q43">
        <v>312295</v>
      </c>
      <c r="R43" s="3">
        <v>74309709353789.203</v>
      </c>
      <c r="S43" s="3">
        <v>15599.732</v>
      </c>
      <c r="T43" s="3">
        <v>92.804000000000002</v>
      </c>
      <c r="U43">
        <f t="shared" si="0"/>
        <v>317057</v>
      </c>
      <c r="V43" s="11">
        <v>85.5</v>
      </c>
      <c r="W43" s="19">
        <v>116.7</v>
      </c>
    </row>
    <row r="44" spans="1:23" x14ac:dyDescent="0.3">
      <c r="A44">
        <v>2012</v>
      </c>
      <c r="B44" s="1">
        <v>86.908031463623047</v>
      </c>
      <c r="C44" s="1">
        <v>83.028944651285812</v>
      </c>
      <c r="D44">
        <v>25122</v>
      </c>
      <c r="E44">
        <v>273192</v>
      </c>
      <c r="F44">
        <v>4063</v>
      </c>
      <c r="G44">
        <v>302377</v>
      </c>
      <c r="H44" s="4">
        <v>18545</v>
      </c>
      <c r="I44" s="4">
        <v>109444</v>
      </c>
      <c r="J44" s="4">
        <v>153529</v>
      </c>
      <c r="K44" s="4">
        <v>262973</v>
      </c>
      <c r="L44">
        <v>20859</v>
      </c>
      <c r="M44">
        <v>6.89</v>
      </c>
      <c r="N44">
        <v>145530</v>
      </c>
      <c r="O44">
        <v>903265</v>
      </c>
      <c r="P44" s="3">
        <v>7176929184</v>
      </c>
      <c r="Q44">
        <v>314725</v>
      </c>
      <c r="R44" s="3">
        <v>75960594595757</v>
      </c>
      <c r="S44" s="3">
        <v>16253.97</v>
      </c>
      <c r="T44" s="3">
        <v>94.534000000000006</v>
      </c>
      <c r="U44">
        <f t="shared" si="0"/>
        <v>281518</v>
      </c>
      <c r="V44" s="11">
        <v>87.6</v>
      </c>
      <c r="W44" s="19">
        <v>125.8</v>
      </c>
    </row>
    <row r="45" spans="1:23" x14ac:dyDescent="0.3">
      <c r="A45">
        <v>2013</v>
      </c>
      <c r="B45" s="1">
        <v>89.235856374104813</v>
      </c>
      <c r="C45" s="1">
        <v>86.381656646728516</v>
      </c>
      <c r="D45">
        <v>20859</v>
      </c>
      <c r="E45">
        <v>351316</v>
      </c>
      <c r="F45">
        <v>909</v>
      </c>
      <c r="G45">
        <v>373084</v>
      </c>
      <c r="H45" s="4">
        <v>48790</v>
      </c>
      <c r="I45" s="4">
        <v>127112</v>
      </c>
      <c r="J45" s="4">
        <v>165890</v>
      </c>
      <c r="K45" s="4">
        <v>293002</v>
      </c>
      <c r="L45">
        <v>31292</v>
      </c>
      <c r="M45">
        <v>4.46</v>
      </c>
      <c r="N45">
        <v>216040</v>
      </c>
      <c r="O45">
        <v>1033821</v>
      </c>
      <c r="P45" s="3">
        <v>7265892332</v>
      </c>
      <c r="Q45">
        <v>317099</v>
      </c>
      <c r="R45" s="3">
        <v>78034892841179.203</v>
      </c>
      <c r="S45" s="3">
        <v>16880.683000000001</v>
      </c>
      <c r="T45" s="3">
        <v>95.781000000000006</v>
      </c>
      <c r="U45">
        <f t="shared" si="0"/>
        <v>341792</v>
      </c>
      <c r="V45" s="11">
        <v>88.9</v>
      </c>
      <c r="W45" s="19">
        <v>100</v>
      </c>
    </row>
    <row r="46" spans="1:23" x14ac:dyDescent="0.3">
      <c r="A46">
        <v>2014</v>
      </c>
      <c r="B46" s="1">
        <v>99.960419972737625</v>
      </c>
      <c r="C46" s="1">
        <v>99.92897478739421</v>
      </c>
      <c r="D46">
        <v>31292</v>
      </c>
      <c r="E46">
        <v>361136</v>
      </c>
      <c r="F46">
        <v>804</v>
      </c>
      <c r="G46">
        <v>393232</v>
      </c>
      <c r="H46" s="4">
        <v>47421</v>
      </c>
      <c r="I46" s="4">
        <v>134307</v>
      </c>
      <c r="J46" s="4">
        <v>167530</v>
      </c>
      <c r="K46" s="4">
        <v>301837</v>
      </c>
      <c r="L46">
        <v>43974</v>
      </c>
      <c r="M46">
        <v>3.7</v>
      </c>
      <c r="N46">
        <v>279937</v>
      </c>
      <c r="O46">
        <v>1061041</v>
      </c>
      <c r="P46" s="3">
        <v>7354068030</v>
      </c>
      <c r="Q46">
        <v>319601</v>
      </c>
      <c r="R46" s="3">
        <v>80054888775431</v>
      </c>
      <c r="S46" s="3">
        <v>17608.137999999999</v>
      </c>
      <c r="T46" s="3">
        <v>97.120999999999995</v>
      </c>
      <c r="U46">
        <f t="shared" si="0"/>
        <v>349258</v>
      </c>
      <c r="V46" s="11">
        <v>90.9</v>
      </c>
      <c r="W46" s="19">
        <v>89.4</v>
      </c>
    </row>
    <row r="47" spans="1:23" x14ac:dyDescent="0.3">
      <c r="A47">
        <v>2015</v>
      </c>
      <c r="B47" s="1">
        <v>103.10752868652344</v>
      </c>
      <c r="C47" s="1">
        <v>103.52058601379395</v>
      </c>
      <c r="D47">
        <v>43974</v>
      </c>
      <c r="E47">
        <v>345506</v>
      </c>
      <c r="F47">
        <v>1716</v>
      </c>
      <c r="G47">
        <v>391196</v>
      </c>
      <c r="H47" s="4">
        <v>48228</v>
      </c>
      <c r="I47" s="4">
        <v>129999</v>
      </c>
      <c r="J47" s="4">
        <v>168846</v>
      </c>
      <c r="K47" s="4">
        <v>298845</v>
      </c>
      <c r="L47">
        <v>44123</v>
      </c>
      <c r="M47">
        <v>3.61</v>
      </c>
      <c r="N47">
        <v>313363</v>
      </c>
      <c r="O47">
        <v>1021192</v>
      </c>
      <c r="P47" s="3">
        <v>7441677465</v>
      </c>
      <c r="Q47">
        <v>322113</v>
      </c>
      <c r="R47" s="3">
        <v>75621913961646.203</v>
      </c>
      <c r="S47" s="3">
        <v>18295.019</v>
      </c>
      <c r="T47" s="3">
        <v>97.299000000000007</v>
      </c>
      <c r="U47">
        <f t="shared" si="0"/>
        <v>347073</v>
      </c>
      <c r="V47" s="11">
        <v>92.6</v>
      </c>
      <c r="W47" s="19">
        <v>48.5</v>
      </c>
    </row>
    <row r="48" spans="1:23" x14ac:dyDescent="0.3">
      <c r="A48">
        <v>2016</v>
      </c>
      <c r="B48" s="1">
        <v>103.89478556315105</v>
      </c>
      <c r="C48" s="1">
        <v>100.41135597229004</v>
      </c>
      <c r="D48">
        <v>44123</v>
      </c>
      <c r="E48">
        <v>384778</v>
      </c>
      <c r="F48">
        <v>1450</v>
      </c>
      <c r="G48">
        <v>430351</v>
      </c>
      <c r="H48" s="4">
        <v>58313</v>
      </c>
      <c r="I48" s="4">
        <v>138892</v>
      </c>
      <c r="J48" s="4">
        <v>174893</v>
      </c>
      <c r="K48" s="4">
        <v>313785</v>
      </c>
      <c r="L48">
        <v>58253</v>
      </c>
      <c r="M48">
        <v>3.36</v>
      </c>
      <c r="N48">
        <v>350824</v>
      </c>
      <c r="O48">
        <v>1129359</v>
      </c>
      <c r="P48" s="3">
        <v>7528879985</v>
      </c>
      <c r="Q48">
        <v>324609</v>
      </c>
      <c r="R48" s="3">
        <v>76831684012526.203</v>
      </c>
      <c r="S48" s="3">
        <v>18804.913</v>
      </c>
      <c r="T48" s="3">
        <v>98.284000000000006</v>
      </c>
      <c r="U48">
        <f t="shared" si="0"/>
        <v>372098</v>
      </c>
      <c r="V48" s="11">
        <v>92.9</v>
      </c>
      <c r="W48" s="19">
        <v>80.3</v>
      </c>
    </row>
    <row r="49" spans="1:23" x14ac:dyDescent="0.3">
      <c r="A49">
        <v>2017</v>
      </c>
      <c r="B49" s="1">
        <v>103.23130671183269</v>
      </c>
      <c r="C49" s="1">
        <v>102.3015677134196</v>
      </c>
      <c r="D49">
        <v>58253</v>
      </c>
      <c r="E49">
        <v>371096</v>
      </c>
      <c r="F49">
        <v>915</v>
      </c>
      <c r="G49">
        <v>430264</v>
      </c>
      <c r="H49" s="4">
        <v>61906</v>
      </c>
      <c r="I49" s="4">
        <v>134743</v>
      </c>
      <c r="J49" s="4">
        <v>179248</v>
      </c>
      <c r="K49" s="4">
        <v>313991</v>
      </c>
      <c r="L49">
        <v>54367</v>
      </c>
      <c r="M49">
        <v>3.36</v>
      </c>
      <c r="N49">
        <v>342235</v>
      </c>
      <c r="O49">
        <v>1087284</v>
      </c>
      <c r="P49" s="3">
        <v>7614523410</v>
      </c>
      <c r="Q49">
        <v>326860</v>
      </c>
      <c r="R49" s="3">
        <v>81839102917044.703</v>
      </c>
      <c r="S49" s="3">
        <v>19612.102999999999</v>
      </c>
      <c r="T49" s="3">
        <v>100</v>
      </c>
      <c r="U49">
        <f t="shared" si="0"/>
        <v>375897</v>
      </c>
      <c r="V49" s="11">
        <v>93.7</v>
      </c>
      <c r="W49" s="19">
        <v>118.2</v>
      </c>
    </row>
    <row r="50" spans="1:23" x14ac:dyDescent="0.3">
      <c r="A50">
        <v>2018</v>
      </c>
      <c r="B50" s="1">
        <v>104.58509063720703</v>
      </c>
      <c r="C50" s="1">
        <v>108.06281852722168</v>
      </c>
      <c r="D50">
        <v>54367</v>
      </c>
      <c r="E50">
        <v>363787</v>
      </c>
      <c r="F50">
        <v>710</v>
      </c>
      <c r="G50">
        <v>418864</v>
      </c>
      <c r="H50" s="4">
        <v>52538</v>
      </c>
      <c r="I50" s="4">
        <v>136966</v>
      </c>
      <c r="J50" s="4">
        <v>172537</v>
      </c>
      <c r="K50" s="4">
        <v>309503</v>
      </c>
      <c r="L50">
        <v>56823</v>
      </c>
      <c r="M50">
        <v>3.61</v>
      </c>
      <c r="N50">
        <v>326775</v>
      </c>
      <c r="O50">
        <v>1132822</v>
      </c>
      <c r="P50" s="3">
        <v>7697233736</v>
      </c>
      <c r="Q50">
        <v>328794</v>
      </c>
      <c r="R50" s="3">
        <v>87050964956078.406</v>
      </c>
      <c r="S50" s="3">
        <v>20656.516</v>
      </c>
      <c r="T50" s="3">
        <v>102.047</v>
      </c>
      <c r="U50">
        <f t="shared" si="0"/>
        <v>362041</v>
      </c>
      <c r="V50" s="11">
        <v>95</v>
      </c>
      <c r="W50" s="19">
        <v>134.80000000000001</v>
      </c>
    </row>
    <row r="51" spans="1:23" x14ac:dyDescent="0.3">
      <c r="A51">
        <v>2019</v>
      </c>
      <c r="B51" s="1">
        <v>107.62516212463379</v>
      </c>
      <c r="C51" s="1">
        <v>112.25717480977376</v>
      </c>
      <c r="D51">
        <v>56823</v>
      </c>
      <c r="E51">
        <v>344651</v>
      </c>
      <c r="F51">
        <v>1064</v>
      </c>
      <c r="G51">
        <v>402538</v>
      </c>
      <c r="H51" s="4">
        <v>45175</v>
      </c>
      <c r="I51" s="4">
        <v>146778</v>
      </c>
      <c r="J51" s="4">
        <v>159672</v>
      </c>
      <c r="K51" s="4">
        <v>306450</v>
      </c>
      <c r="L51">
        <v>50913</v>
      </c>
      <c r="M51">
        <v>3.56</v>
      </c>
      <c r="N51">
        <v>314542</v>
      </c>
      <c r="O51">
        <v>1128285</v>
      </c>
      <c r="P51" s="3">
        <v>7778008621</v>
      </c>
      <c r="Q51">
        <v>330513</v>
      </c>
      <c r="R51" s="3">
        <v>88483262418196.5</v>
      </c>
      <c r="S51" s="3">
        <v>21539.982</v>
      </c>
      <c r="T51" s="3">
        <v>103.509</v>
      </c>
      <c r="U51">
        <f t="shared" si="0"/>
        <v>351625</v>
      </c>
      <c r="V51" s="11">
        <v>96.8</v>
      </c>
      <c r="W51" s="19">
        <v>87.9</v>
      </c>
    </row>
    <row r="52" spans="1:23" x14ac:dyDescent="0.3">
      <c r="A52">
        <v>2020</v>
      </c>
      <c r="B52" s="1">
        <v>108.32800547281902</v>
      </c>
      <c r="C52" s="1">
        <v>110.50793647766113</v>
      </c>
      <c r="D52">
        <v>50913</v>
      </c>
      <c r="E52">
        <v>357819</v>
      </c>
      <c r="F52">
        <v>616</v>
      </c>
      <c r="G52">
        <v>409348</v>
      </c>
      <c r="H52" s="4">
        <v>69775</v>
      </c>
      <c r="I52" s="4">
        <v>143959</v>
      </c>
      <c r="J52" s="4">
        <v>164256</v>
      </c>
      <c r="K52" s="4">
        <v>308215</v>
      </c>
      <c r="L52">
        <v>31358</v>
      </c>
      <c r="M52">
        <v>4.53</v>
      </c>
      <c r="N52">
        <v>297358</v>
      </c>
      <c r="O52">
        <v>1134439</v>
      </c>
      <c r="P52" s="3">
        <v>7854748424</v>
      </c>
      <c r="Q52">
        <v>331840</v>
      </c>
      <c r="R52" s="3">
        <v>85912761035231.203</v>
      </c>
      <c r="S52" s="3">
        <v>21375.281999999999</v>
      </c>
      <c r="T52" s="3">
        <v>104.666</v>
      </c>
      <c r="U52">
        <f t="shared" si="0"/>
        <v>377990</v>
      </c>
      <c r="V52" s="11">
        <v>100</v>
      </c>
      <c r="W52" s="19">
        <v>100</v>
      </c>
    </row>
    <row r="53" spans="1:23" x14ac:dyDescent="0.3">
      <c r="A53">
        <v>2021</v>
      </c>
      <c r="B53" s="1">
        <v>119.30623626708984</v>
      </c>
      <c r="C53" s="1">
        <v>117.94894282023112</v>
      </c>
      <c r="D53">
        <v>31358</v>
      </c>
      <c r="E53">
        <v>381469</v>
      </c>
      <c r="F53">
        <v>615</v>
      </c>
      <c r="G53">
        <v>413442</v>
      </c>
      <c r="H53" s="4">
        <v>62802</v>
      </c>
      <c r="I53" s="4">
        <v>144037</v>
      </c>
      <c r="J53" s="4">
        <v>171628</v>
      </c>
      <c r="K53" s="4">
        <v>315665</v>
      </c>
      <c r="L53">
        <v>34975</v>
      </c>
      <c r="M53">
        <v>6</v>
      </c>
      <c r="N53">
        <v>314119</v>
      </c>
      <c r="O53">
        <v>1221050</v>
      </c>
      <c r="P53" s="3">
        <v>7920514854</v>
      </c>
      <c r="Q53">
        <v>332505</v>
      </c>
      <c r="R53" s="3">
        <v>98140475264975.906</v>
      </c>
      <c r="S53" s="3">
        <v>23725.646000000001</v>
      </c>
      <c r="T53" s="3">
        <v>108.973</v>
      </c>
      <c r="U53">
        <f t="shared" si="0"/>
        <v>378467</v>
      </c>
      <c r="V53" s="11">
        <v>103.8</v>
      </c>
      <c r="W53" s="19">
        <v>378.8</v>
      </c>
    </row>
    <row r="54" spans="1:23" x14ac:dyDescent="0.3">
      <c r="A54">
        <v>2022</v>
      </c>
      <c r="B54" s="1">
        <v>117.78226661682129</v>
      </c>
      <c r="C54" s="1">
        <v>115.50069681803386</v>
      </c>
      <c r="D54">
        <v>34975</v>
      </c>
      <c r="E54">
        <v>346739</v>
      </c>
      <c r="F54">
        <v>982</v>
      </c>
      <c r="G54">
        <v>382696</v>
      </c>
      <c r="H54" s="4">
        <v>42214</v>
      </c>
      <c r="I54" s="4">
        <v>139348</v>
      </c>
      <c r="J54" s="4">
        <v>166583</v>
      </c>
      <c r="K54" s="4">
        <v>305931</v>
      </c>
      <c r="L54">
        <v>34551</v>
      </c>
      <c r="M54">
        <v>6.54</v>
      </c>
      <c r="N54">
        <v>305373</v>
      </c>
      <c r="O54">
        <v>1165718</v>
      </c>
      <c r="P54" s="3">
        <v>7989545217</v>
      </c>
      <c r="Q54">
        <v>334372</v>
      </c>
      <c r="R54" s="3">
        <v>102251524725531</v>
      </c>
      <c r="S54" s="3">
        <v>26054.614000000001</v>
      </c>
      <c r="T54" s="3">
        <v>116.1</v>
      </c>
      <c r="U54">
        <f t="shared" si="0"/>
        <v>348145</v>
      </c>
      <c r="V54" s="11">
        <v>113.8</v>
      </c>
      <c r="W54" s="19">
        <v>395.5</v>
      </c>
    </row>
    <row r="55" spans="1:23" x14ac:dyDescent="0.3">
      <c r="A55">
        <v>2023</v>
      </c>
      <c r="B55" s="1">
        <v>121.21778996785481</v>
      </c>
      <c r="C55" s="1">
        <v>117.15745989481609</v>
      </c>
      <c r="D55">
        <v>34551</v>
      </c>
      <c r="E55">
        <v>389667</v>
      </c>
      <c r="F55">
        <v>722</v>
      </c>
      <c r="G55">
        <v>424940</v>
      </c>
      <c r="H55" s="4">
        <v>57275</v>
      </c>
      <c r="I55" s="4">
        <v>148134</v>
      </c>
      <c r="J55" s="4">
        <v>174739</v>
      </c>
      <c r="K55" s="4">
        <v>322873</v>
      </c>
      <c r="L55">
        <v>44792</v>
      </c>
      <c r="M55">
        <v>4.55</v>
      </c>
      <c r="N55">
        <v>315448</v>
      </c>
      <c r="O55">
        <v>1230697</v>
      </c>
      <c r="P55" s="3">
        <v>8064057930</v>
      </c>
      <c r="Q55">
        <v>337141</v>
      </c>
      <c r="R55" s="3">
        <v>106741647821064</v>
      </c>
      <c r="S55" s="3">
        <v>27811.517</v>
      </c>
      <c r="T55" s="3">
        <v>120.511</v>
      </c>
      <c r="U55">
        <f t="shared" si="0"/>
        <v>380148</v>
      </c>
      <c r="V55" s="11">
        <v>120.2</v>
      </c>
      <c r="W55" s="19">
        <v>163.6</v>
      </c>
    </row>
    <row r="56" spans="1:23" x14ac:dyDescent="0.3">
      <c r="A56">
        <v>2024</v>
      </c>
      <c r="B56" s="1">
        <v>122.45605341593425</v>
      </c>
      <c r="C56" s="1">
        <v>115.30511792500813</v>
      </c>
      <c r="D56">
        <v>44792</v>
      </c>
      <c r="E56">
        <v>378268</v>
      </c>
      <c r="F56">
        <v>550</v>
      </c>
      <c r="G56">
        <v>423610</v>
      </c>
      <c r="H56" s="4">
        <v>72603</v>
      </c>
      <c r="I56" s="4">
        <v>138831</v>
      </c>
      <c r="J56" s="4">
        <v>173271</v>
      </c>
      <c r="K56" s="4">
        <v>312102</v>
      </c>
      <c r="L56">
        <v>38905</v>
      </c>
      <c r="M56">
        <v>4.24</v>
      </c>
      <c r="N56">
        <v>293369</v>
      </c>
      <c r="O56">
        <v>1230608</v>
      </c>
      <c r="P56" s="3">
        <v>8141808945</v>
      </c>
      <c r="Q56">
        <v>340212</v>
      </c>
      <c r="R56" s="3">
        <v>110982661180013</v>
      </c>
      <c r="S56" s="3">
        <v>29298.012999999999</v>
      </c>
      <c r="T56" s="3">
        <v>123.666</v>
      </c>
      <c r="U56">
        <f t="shared" si="0"/>
        <v>384705</v>
      </c>
      <c r="V56" s="11">
        <v>122.9</v>
      </c>
      <c r="W56" s="19">
        <v>150</v>
      </c>
    </row>
    <row r="57" spans="1:23" x14ac:dyDescent="0.3">
      <c r="A57">
        <v>2025</v>
      </c>
      <c r="B57" s="1">
        <v>123.0113639831543</v>
      </c>
      <c r="C57" s="1">
        <v>117.66338221232097</v>
      </c>
      <c r="D57">
        <v>38905</v>
      </c>
      <c r="E57">
        <v>425525</v>
      </c>
      <c r="F57">
        <v>635</v>
      </c>
      <c r="G57">
        <v>465065</v>
      </c>
      <c r="H57" s="4">
        <v>81284</v>
      </c>
      <c r="I57" s="4">
        <v>154947</v>
      </c>
      <c r="J57" s="4">
        <v>177300</v>
      </c>
      <c r="K57" s="4">
        <v>332247</v>
      </c>
      <c r="L57">
        <v>51534</v>
      </c>
      <c r="M57">
        <v>4</v>
      </c>
      <c r="N57">
        <v>279151</v>
      </c>
      <c r="O57">
        <v>1282962</v>
      </c>
      <c r="P57" s="5">
        <f>AVERAGE((P56-P55),(P55-P54),(P54-P53),(P53-P52))+P56</f>
        <v>8213574075.25</v>
      </c>
      <c r="Q57" s="5">
        <f t="shared" ref="Q57:S57" si="1">AVERAGE((Q56-Q55),(Q55-Q54),(Q54-Q53),(Q53-Q52))+Q56</f>
        <v>342305</v>
      </c>
      <c r="R57" s="5">
        <f t="shared" si="1"/>
        <v>117250136216208.45</v>
      </c>
      <c r="S57" s="5">
        <f t="shared" si="1"/>
        <v>31278.695749999999</v>
      </c>
      <c r="T57" s="5">
        <f>AVERAGE((T56-T55),(T55-T54),(T54-T53),(T53-T52))+T56</f>
        <v>128.416</v>
      </c>
      <c r="U57">
        <f t="shared" si="0"/>
        <v>413531</v>
      </c>
      <c r="V57" s="10">
        <v>125.30000000000001</v>
      </c>
      <c r="W57" s="20">
        <v>95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6D7E-DDB2-8440-AD21-BDFF377B4BC9}">
  <dimension ref="A1:W57"/>
  <sheetViews>
    <sheetView topLeftCell="G1" workbookViewId="0">
      <selection activeCell="W1" sqref="W1:W57"/>
    </sheetView>
  </sheetViews>
  <sheetFormatPr defaultColWidth="11.19921875" defaultRowHeight="15.6" x14ac:dyDescent="0.3"/>
  <cols>
    <col min="3" max="3" width="10.5" bestFit="1" customWidth="1"/>
    <col min="8" max="11" width="10.796875" style="4"/>
    <col min="16" max="16" width="11.19921875" bestFit="1" customWidth="1"/>
    <col min="22" max="22" width="11.19921875" style="9"/>
  </cols>
  <sheetData>
    <row r="1" spans="1:23" ht="62.4" x14ac:dyDescent="0.3">
      <c r="A1" t="s">
        <v>0</v>
      </c>
      <c r="B1" s="2" t="s">
        <v>10</v>
      </c>
      <c r="C1" s="2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21</v>
      </c>
      <c r="J1" t="s">
        <v>22</v>
      </c>
      <c r="K1" t="s">
        <v>8</v>
      </c>
      <c r="L1" t="s">
        <v>9</v>
      </c>
      <c r="M1" t="s">
        <v>15</v>
      </c>
      <c r="N1" s="7" t="s">
        <v>13</v>
      </c>
      <c r="O1" s="7" t="s">
        <v>14</v>
      </c>
      <c r="P1" t="s">
        <v>19</v>
      </c>
      <c r="Q1" t="s">
        <v>18</v>
      </c>
      <c r="R1" t="s">
        <v>17</v>
      </c>
      <c r="S1" t="s">
        <v>20</v>
      </c>
      <c r="T1" t="s">
        <v>16</v>
      </c>
      <c r="U1" t="s">
        <v>12</v>
      </c>
      <c r="V1" s="9" t="s">
        <v>23</v>
      </c>
      <c r="W1" s="15" t="s">
        <v>24</v>
      </c>
    </row>
    <row r="2" spans="1:23" x14ac:dyDescent="0.3">
      <c r="A2">
        <v>1970</v>
      </c>
      <c r="B2" s="1">
        <v>96.27996826171875</v>
      </c>
      <c r="C2" s="1">
        <v>75.531028747558594</v>
      </c>
      <c r="D2">
        <v>6255</v>
      </c>
      <c r="E2">
        <v>30675</v>
      </c>
      <c r="F2">
        <v>0</v>
      </c>
      <c r="G2">
        <v>36930</v>
      </c>
      <c r="H2">
        <v>11806</v>
      </c>
      <c r="I2">
        <v>20687</v>
      </c>
      <c r="J2">
        <v>1749</v>
      </c>
      <c r="K2">
        <v>22436</v>
      </c>
      <c r="L2">
        <v>2688</v>
      </c>
      <c r="M2">
        <v>2.85</v>
      </c>
      <c r="N2" s="6">
        <v>3394</v>
      </c>
      <c r="O2" s="6">
        <v>42134</v>
      </c>
      <c r="P2" s="3">
        <v>3680589045</v>
      </c>
      <c r="Q2">
        <v>205089</v>
      </c>
      <c r="R2" s="3">
        <v>3004300000000</v>
      </c>
      <c r="S2" s="3">
        <v>1073.3109999999999</v>
      </c>
      <c r="T2" s="3">
        <v>19.765999999999998</v>
      </c>
      <c r="U2">
        <v>34242</v>
      </c>
      <c r="V2" s="11">
        <v>15</v>
      </c>
      <c r="W2" s="16">
        <v>306.10000000000002</v>
      </c>
    </row>
    <row r="3" spans="1:23" x14ac:dyDescent="0.3">
      <c r="A3">
        <v>1971</v>
      </c>
      <c r="B3" s="1">
        <v>91.949569702148438</v>
      </c>
      <c r="C3" s="1">
        <v>69.234031677246094</v>
      </c>
      <c r="D3">
        <v>2688</v>
      </c>
      <c r="E3">
        <v>32009</v>
      </c>
      <c r="F3">
        <v>0</v>
      </c>
      <c r="G3">
        <v>34697</v>
      </c>
      <c r="H3">
        <v>11344</v>
      </c>
      <c r="I3">
        <v>19610</v>
      </c>
      <c r="J3">
        <v>1785</v>
      </c>
      <c r="K3">
        <v>21395</v>
      </c>
      <c r="L3">
        <v>1958</v>
      </c>
      <c r="M3">
        <v>3.03</v>
      </c>
      <c r="N3" s="6">
        <v>2606</v>
      </c>
      <c r="O3" s="6">
        <v>43438</v>
      </c>
      <c r="P3" s="3">
        <v>3758613546</v>
      </c>
      <c r="Q3">
        <v>207692</v>
      </c>
      <c r="R3" s="3">
        <v>3319900000000</v>
      </c>
      <c r="S3" s="3">
        <v>1164.8499999999999</v>
      </c>
      <c r="T3" s="3">
        <v>20.605</v>
      </c>
      <c r="U3">
        <v>32739</v>
      </c>
      <c r="V3" s="11">
        <v>15.5</v>
      </c>
      <c r="W3" s="16">
        <v>289.39999999999998</v>
      </c>
    </row>
    <row r="4" spans="1:23" x14ac:dyDescent="0.3">
      <c r="A4">
        <v>1972</v>
      </c>
      <c r="B4" s="1">
        <v>85.741081237792969</v>
      </c>
      <c r="C4" s="1">
        <v>60.2574462890625</v>
      </c>
      <c r="D4">
        <v>1958</v>
      </c>
      <c r="E4">
        <v>34581</v>
      </c>
      <c r="F4">
        <v>0</v>
      </c>
      <c r="G4">
        <v>36539</v>
      </c>
      <c r="H4">
        <v>13048</v>
      </c>
      <c r="I4">
        <v>19644</v>
      </c>
      <c r="J4">
        <v>2224</v>
      </c>
      <c r="K4">
        <v>21868</v>
      </c>
      <c r="L4">
        <v>1623</v>
      </c>
      <c r="M4">
        <v>4.37</v>
      </c>
      <c r="N4" s="6">
        <v>2498</v>
      </c>
      <c r="O4" s="6">
        <v>43906</v>
      </c>
      <c r="P4" s="3">
        <v>3834446322</v>
      </c>
      <c r="Q4">
        <v>209924</v>
      </c>
      <c r="R4" s="3">
        <v>3834200000000</v>
      </c>
      <c r="S4" s="3">
        <v>1279.1120000000001</v>
      </c>
      <c r="T4" s="3">
        <v>21.308</v>
      </c>
      <c r="U4">
        <v>34916</v>
      </c>
      <c r="V4" s="11">
        <v>16.2</v>
      </c>
      <c r="W4" s="16">
        <v>269.7</v>
      </c>
    </row>
    <row r="5" spans="1:23" x14ac:dyDescent="0.3">
      <c r="A5">
        <v>1973</v>
      </c>
      <c r="B5" s="1">
        <v>81.385787963867188</v>
      </c>
      <c r="C5" s="1">
        <v>59.529338836669922</v>
      </c>
      <c r="D5">
        <v>1623</v>
      </c>
      <c r="E5">
        <v>42118</v>
      </c>
      <c r="F5">
        <v>0</v>
      </c>
      <c r="G5">
        <v>43741</v>
      </c>
      <c r="H5">
        <v>14673</v>
      </c>
      <c r="I5">
        <v>22353</v>
      </c>
      <c r="J5">
        <v>2068</v>
      </c>
      <c r="K5">
        <v>24421</v>
      </c>
      <c r="L5">
        <v>4647</v>
      </c>
      <c r="M5">
        <v>5.68</v>
      </c>
      <c r="N5" s="6">
        <v>5495</v>
      </c>
      <c r="O5" s="6">
        <v>54007</v>
      </c>
      <c r="P5" s="3">
        <v>3911068458</v>
      </c>
      <c r="Q5">
        <v>211939</v>
      </c>
      <c r="R5" s="3">
        <v>4688600000000</v>
      </c>
      <c r="S5" s="3">
        <v>1425.376</v>
      </c>
      <c r="T5" s="3">
        <v>22.456</v>
      </c>
      <c r="U5">
        <v>39094</v>
      </c>
      <c r="V5" s="11">
        <v>18.3</v>
      </c>
      <c r="W5" s="16">
        <v>412.1</v>
      </c>
    </row>
    <row r="6" spans="1:23" x14ac:dyDescent="0.3">
      <c r="A6">
        <v>1974</v>
      </c>
      <c r="B6" s="1">
        <v>81.354316711425781</v>
      </c>
      <c r="C6" s="1">
        <v>61.88629150390625</v>
      </c>
      <c r="D6">
        <v>4647</v>
      </c>
      <c r="E6">
        <v>33102</v>
      </c>
      <c r="F6">
        <v>0</v>
      </c>
      <c r="G6">
        <v>37749</v>
      </c>
      <c r="H6">
        <v>11450</v>
      </c>
      <c r="I6">
        <v>19085</v>
      </c>
      <c r="J6">
        <v>2093</v>
      </c>
      <c r="K6">
        <v>21178</v>
      </c>
      <c r="L6">
        <v>5121</v>
      </c>
      <c r="M6">
        <v>6.64</v>
      </c>
      <c r="N6" s="6">
        <v>6086</v>
      </c>
      <c r="O6" s="6">
        <v>44249</v>
      </c>
      <c r="P6" s="3">
        <v>3987294240</v>
      </c>
      <c r="Q6">
        <v>213898</v>
      </c>
      <c r="R6" s="3">
        <v>5419500000000</v>
      </c>
      <c r="S6" s="3">
        <v>1545.2429999999999</v>
      </c>
      <c r="T6" s="3">
        <v>24.792999999999999</v>
      </c>
      <c r="U6">
        <v>32628</v>
      </c>
      <c r="V6" s="11">
        <v>20.8</v>
      </c>
      <c r="W6" s="16">
        <v>639.4</v>
      </c>
    </row>
    <row r="7" spans="1:23" x14ac:dyDescent="0.3">
      <c r="A7">
        <v>1975</v>
      </c>
      <c r="B7" s="1">
        <v>82.211517333984375</v>
      </c>
      <c r="C7" s="1">
        <v>63.680122375488281</v>
      </c>
      <c r="D7">
        <v>5121</v>
      </c>
      <c r="E7">
        <v>42139</v>
      </c>
      <c r="F7">
        <v>0</v>
      </c>
      <c r="G7">
        <v>47260</v>
      </c>
      <c r="H7">
        <v>15107</v>
      </c>
      <c r="I7">
        <v>23545</v>
      </c>
      <c r="J7">
        <v>1942</v>
      </c>
      <c r="K7">
        <v>25487</v>
      </c>
      <c r="L7">
        <v>6666</v>
      </c>
      <c r="M7">
        <v>4.92</v>
      </c>
      <c r="N7" s="6">
        <v>8302</v>
      </c>
      <c r="O7" s="6">
        <v>53633</v>
      </c>
      <c r="P7" s="3">
        <v>4062070771</v>
      </c>
      <c r="Q7">
        <v>215981</v>
      </c>
      <c r="R7" s="3">
        <v>6035100000000</v>
      </c>
      <c r="S7" s="3">
        <v>1684.905</v>
      </c>
      <c r="T7" s="3">
        <v>26.86</v>
      </c>
      <c r="U7">
        <v>40594</v>
      </c>
      <c r="V7" s="11">
        <v>22.6</v>
      </c>
      <c r="W7" s="16">
        <v>448.5</v>
      </c>
    </row>
    <row r="8" spans="1:23" x14ac:dyDescent="0.3">
      <c r="A8">
        <v>1976</v>
      </c>
      <c r="B8" s="1">
        <v>82.846267700195313</v>
      </c>
      <c r="C8" s="1">
        <v>62.98223876953125</v>
      </c>
      <c r="D8">
        <v>6666</v>
      </c>
      <c r="E8">
        <v>35070</v>
      </c>
      <c r="F8">
        <v>0</v>
      </c>
      <c r="G8">
        <v>41736</v>
      </c>
      <c r="H8">
        <v>15351</v>
      </c>
      <c r="I8">
        <v>21506</v>
      </c>
      <c r="J8">
        <v>2078</v>
      </c>
      <c r="K8">
        <v>23584</v>
      </c>
      <c r="L8">
        <v>2801</v>
      </c>
      <c r="M8">
        <v>6.81</v>
      </c>
      <c r="N8" s="6">
        <v>3688</v>
      </c>
      <c r="O8" s="6">
        <v>45465</v>
      </c>
      <c r="P8" s="3">
        <v>4135758539</v>
      </c>
      <c r="Q8">
        <v>218086</v>
      </c>
      <c r="R8" s="3">
        <v>6560200000000</v>
      </c>
      <c r="S8" s="3">
        <v>1873.413</v>
      </c>
      <c r="T8" s="3">
        <v>28.332999999999998</v>
      </c>
      <c r="U8">
        <v>38935</v>
      </c>
      <c r="V8" s="11">
        <v>23.3</v>
      </c>
      <c r="W8" s="16">
        <v>319.7</v>
      </c>
    </row>
    <row r="9" spans="1:23" x14ac:dyDescent="0.3">
      <c r="A9">
        <v>1977</v>
      </c>
      <c r="B9" s="1">
        <v>76.637420654296875</v>
      </c>
      <c r="C9" s="1">
        <v>58.508747100830078</v>
      </c>
      <c r="D9">
        <v>2801</v>
      </c>
      <c r="E9">
        <v>48097</v>
      </c>
      <c r="F9">
        <v>0</v>
      </c>
      <c r="G9">
        <v>50898</v>
      </c>
      <c r="H9">
        <v>19061</v>
      </c>
      <c r="I9">
        <v>25220</v>
      </c>
      <c r="J9">
        <v>2231</v>
      </c>
      <c r="K9">
        <v>27451</v>
      </c>
      <c r="L9">
        <v>4386</v>
      </c>
      <c r="M9">
        <v>5.88</v>
      </c>
      <c r="N9" s="6">
        <v>10128</v>
      </c>
      <c r="O9" s="6">
        <v>72151</v>
      </c>
      <c r="P9" s="3">
        <v>4208958804</v>
      </c>
      <c r="Q9">
        <v>220289</v>
      </c>
      <c r="R9" s="3">
        <v>7416400000000</v>
      </c>
      <c r="S9" s="3">
        <v>2081.8249999999998</v>
      </c>
      <c r="T9" s="3">
        <v>30.175999999999998</v>
      </c>
      <c r="U9">
        <v>46512</v>
      </c>
      <c r="V9" s="11">
        <v>24.7</v>
      </c>
      <c r="W9" s="16">
        <v>398.5</v>
      </c>
    </row>
    <row r="10" spans="1:23" x14ac:dyDescent="0.3">
      <c r="A10">
        <v>1978</v>
      </c>
      <c r="B10" s="1">
        <v>79.017974853515625</v>
      </c>
      <c r="C10" s="1">
        <v>58.037460327148438</v>
      </c>
      <c r="D10">
        <v>4386</v>
      </c>
      <c r="E10">
        <v>50859</v>
      </c>
      <c r="F10">
        <v>0</v>
      </c>
      <c r="G10">
        <v>55245</v>
      </c>
      <c r="H10">
        <v>20117</v>
      </c>
      <c r="I10">
        <v>27701</v>
      </c>
      <c r="J10">
        <v>2648</v>
      </c>
      <c r="K10">
        <v>30349</v>
      </c>
      <c r="L10">
        <v>4779</v>
      </c>
      <c r="M10">
        <v>6.66</v>
      </c>
      <c r="N10" s="6">
        <v>9912</v>
      </c>
      <c r="O10" s="6">
        <v>77408</v>
      </c>
      <c r="P10" s="3">
        <v>4283431043</v>
      </c>
      <c r="Q10">
        <v>222629</v>
      </c>
      <c r="R10" s="3">
        <v>8779700000000</v>
      </c>
      <c r="S10" s="3">
        <v>2351.5990000000002</v>
      </c>
      <c r="T10" s="3">
        <v>32.276000000000003</v>
      </c>
      <c r="U10">
        <v>50466</v>
      </c>
      <c r="V10" s="11">
        <v>27.1</v>
      </c>
      <c r="W10" s="16">
        <v>442.4</v>
      </c>
    </row>
    <row r="11" spans="1:23" x14ac:dyDescent="0.3">
      <c r="A11">
        <v>1979</v>
      </c>
      <c r="B11" s="1">
        <v>79.596054077148438</v>
      </c>
      <c r="C11" s="1">
        <v>58.580295562744141</v>
      </c>
      <c r="D11">
        <v>4779</v>
      </c>
      <c r="E11">
        <v>61525</v>
      </c>
      <c r="F11">
        <v>0</v>
      </c>
      <c r="G11">
        <v>66304</v>
      </c>
      <c r="H11">
        <v>23818</v>
      </c>
      <c r="I11">
        <v>30573</v>
      </c>
      <c r="J11">
        <v>2157</v>
      </c>
      <c r="K11">
        <v>32730</v>
      </c>
      <c r="L11">
        <v>9756</v>
      </c>
      <c r="M11">
        <v>6.29</v>
      </c>
      <c r="N11" s="6">
        <v>18664</v>
      </c>
      <c r="O11" s="6">
        <v>93389</v>
      </c>
      <c r="P11" s="3">
        <v>4360056401</v>
      </c>
      <c r="Q11">
        <v>225106</v>
      </c>
      <c r="R11" s="3">
        <v>10155462903237.9</v>
      </c>
      <c r="S11" s="3">
        <v>2627.326</v>
      </c>
      <c r="T11" s="3">
        <v>35.143000000000001</v>
      </c>
      <c r="U11">
        <v>56548</v>
      </c>
      <c r="V11" s="11">
        <v>30</v>
      </c>
      <c r="W11" s="16">
        <v>519.70000000000005</v>
      </c>
    </row>
    <row r="12" spans="1:23" x14ac:dyDescent="0.3">
      <c r="A12">
        <v>1980</v>
      </c>
      <c r="B12" s="1">
        <v>80.412803649902344</v>
      </c>
      <c r="C12" s="1">
        <v>64.821983337402344</v>
      </c>
      <c r="D12">
        <v>9756</v>
      </c>
      <c r="E12">
        <v>48921</v>
      </c>
      <c r="F12">
        <v>0</v>
      </c>
      <c r="G12">
        <v>58677</v>
      </c>
      <c r="H12">
        <v>19712</v>
      </c>
      <c r="I12">
        <v>27773</v>
      </c>
      <c r="J12">
        <v>2673</v>
      </c>
      <c r="K12">
        <v>30446</v>
      </c>
      <c r="L12">
        <v>8519</v>
      </c>
      <c r="M12">
        <v>7.6</v>
      </c>
      <c r="N12" s="6">
        <v>16545</v>
      </c>
      <c r="O12" s="6">
        <v>80928</v>
      </c>
      <c r="P12" s="3">
        <v>4437602892</v>
      </c>
      <c r="Q12">
        <v>227726</v>
      </c>
      <c r="R12" s="3">
        <v>11452768541637.6</v>
      </c>
      <c r="S12" s="3">
        <v>2857.3090000000002</v>
      </c>
      <c r="T12" s="3">
        <v>38.927999999999997</v>
      </c>
      <c r="U12">
        <v>50158</v>
      </c>
      <c r="V12" s="11">
        <v>32.5</v>
      </c>
      <c r="W12" s="16">
        <v>584.79999999999995</v>
      </c>
    </row>
    <row r="13" spans="1:23" x14ac:dyDescent="0.3">
      <c r="A13">
        <v>1981</v>
      </c>
      <c r="B13" s="1">
        <v>93.981346130371094</v>
      </c>
      <c r="C13" s="1">
        <v>79.986968994140625</v>
      </c>
      <c r="D13">
        <v>8519</v>
      </c>
      <c r="E13">
        <v>54135</v>
      </c>
      <c r="F13">
        <v>0</v>
      </c>
      <c r="G13">
        <v>62654</v>
      </c>
      <c r="H13">
        <v>25285</v>
      </c>
      <c r="I13">
        <v>28032</v>
      </c>
      <c r="J13">
        <v>2411</v>
      </c>
      <c r="K13">
        <v>30443</v>
      </c>
      <c r="L13">
        <v>6926</v>
      </c>
      <c r="M13">
        <v>6.07</v>
      </c>
      <c r="N13" s="6">
        <v>15103</v>
      </c>
      <c r="O13" s="6">
        <v>86083</v>
      </c>
      <c r="P13" s="3">
        <v>4516926190</v>
      </c>
      <c r="Q13">
        <v>230008</v>
      </c>
      <c r="R13" s="3">
        <v>11843441094928.699</v>
      </c>
      <c r="S13" s="3">
        <v>3207.0410000000002</v>
      </c>
      <c r="T13" s="3">
        <v>42.414999999999999</v>
      </c>
      <c r="U13">
        <v>55728</v>
      </c>
      <c r="V13" s="11">
        <v>35.1</v>
      </c>
      <c r="W13" s="16">
        <v>515.20000000000005</v>
      </c>
    </row>
    <row r="14" spans="1:23" x14ac:dyDescent="0.3">
      <c r="A14">
        <v>1982</v>
      </c>
      <c r="B14" s="1">
        <v>99.1051025390625</v>
      </c>
      <c r="C14" s="1">
        <v>89.91021728515625</v>
      </c>
      <c r="D14">
        <v>6926</v>
      </c>
      <c r="E14">
        <v>59610</v>
      </c>
      <c r="F14">
        <v>0</v>
      </c>
      <c r="G14">
        <v>66536</v>
      </c>
      <c r="H14">
        <v>24634</v>
      </c>
      <c r="I14">
        <v>30155</v>
      </c>
      <c r="J14">
        <v>2368</v>
      </c>
      <c r="K14">
        <v>32523</v>
      </c>
      <c r="L14">
        <v>9379</v>
      </c>
      <c r="M14">
        <v>5.71</v>
      </c>
      <c r="N14" s="6">
        <v>17348</v>
      </c>
      <c r="O14" s="6">
        <v>93458</v>
      </c>
      <c r="P14" s="3">
        <v>4599539241</v>
      </c>
      <c r="Q14">
        <v>232218</v>
      </c>
      <c r="R14" s="3">
        <v>11719276657617.9</v>
      </c>
      <c r="S14" s="3">
        <v>3343.7890000000002</v>
      </c>
      <c r="T14" s="3">
        <v>44.771000000000001</v>
      </c>
      <c r="U14">
        <v>57157</v>
      </c>
      <c r="V14" s="11">
        <v>36.5</v>
      </c>
      <c r="W14" s="16">
        <v>316.7</v>
      </c>
    </row>
    <row r="15" spans="1:23" x14ac:dyDescent="0.3">
      <c r="A15">
        <v>1983</v>
      </c>
      <c r="B15" s="1">
        <v>100.80005645751953</v>
      </c>
      <c r="C15" s="1">
        <v>99.970367431640625</v>
      </c>
      <c r="D15">
        <v>9379</v>
      </c>
      <c r="E15">
        <v>44518</v>
      </c>
      <c r="F15">
        <v>0</v>
      </c>
      <c r="G15">
        <v>53897</v>
      </c>
      <c r="H15">
        <v>20221</v>
      </c>
      <c r="I15">
        <v>26753</v>
      </c>
      <c r="J15">
        <v>2135</v>
      </c>
      <c r="K15">
        <v>28888</v>
      </c>
      <c r="L15">
        <v>4788</v>
      </c>
      <c r="M15">
        <v>7.83</v>
      </c>
      <c r="N15" s="6">
        <v>13718</v>
      </c>
      <c r="O15" s="6">
        <v>83116</v>
      </c>
      <c r="P15" s="3">
        <v>4682924536</v>
      </c>
      <c r="Q15">
        <v>234333</v>
      </c>
      <c r="R15" s="3">
        <v>11962974794875.199</v>
      </c>
      <c r="S15" s="3">
        <v>3634.0369999999998</v>
      </c>
      <c r="T15" s="3">
        <v>46.676000000000002</v>
      </c>
      <c r="U15">
        <v>49109</v>
      </c>
      <c r="V15" s="11">
        <v>37.299999999999997</v>
      </c>
      <c r="W15" s="16">
        <v>204.5</v>
      </c>
    </row>
    <row r="16" spans="1:23" x14ac:dyDescent="0.3">
      <c r="A16">
        <v>1984</v>
      </c>
      <c r="B16" s="1">
        <v>102.09542846679688</v>
      </c>
      <c r="C16" s="1">
        <v>102.4085693359375</v>
      </c>
      <c r="D16">
        <v>4788</v>
      </c>
      <c r="E16">
        <v>50644</v>
      </c>
      <c r="F16">
        <v>0</v>
      </c>
      <c r="G16">
        <v>55432</v>
      </c>
      <c r="H16">
        <v>16265</v>
      </c>
      <c r="I16">
        <v>28045</v>
      </c>
      <c r="J16">
        <v>2530</v>
      </c>
      <c r="K16">
        <v>30575</v>
      </c>
      <c r="L16">
        <v>8592</v>
      </c>
      <c r="M16">
        <v>5.84</v>
      </c>
      <c r="N16" s="6">
        <v>17970</v>
      </c>
      <c r="O16" s="6">
        <v>93075</v>
      </c>
      <c r="P16" s="3">
        <v>4766040300</v>
      </c>
      <c r="Q16">
        <v>236394</v>
      </c>
      <c r="R16" s="3">
        <v>12427957579028</v>
      </c>
      <c r="S16" s="3">
        <v>4037.614</v>
      </c>
      <c r="T16" s="3">
        <v>48.439</v>
      </c>
      <c r="U16">
        <v>46840</v>
      </c>
      <c r="V16" s="11">
        <v>38.700000000000003</v>
      </c>
      <c r="W16" s="16">
        <v>215.2</v>
      </c>
    </row>
    <row r="17" spans="1:23" x14ac:dyDescent="0.3">
      <c r="A17">
        <v>1985</v>
      </c>
      <c r="B17" s="1">
        <v>98.704330444335938</v>
      </c>
      <c r="C17" s="1">
        <v>88.385055541992188</v>
      </c>
      <c r="D17">
        <v>8592</v>
      </c>
      <c r="E17">
        <v>57127</v>
      </c>
      <c r="F17">
        <v>0</v>
      </c>
      <c r="G17">
        <v>65719</v>
      </c>
      <c r="H17">
        <v>20158</v>
      </c>
      <c r="I17">
        <v>28658</v>
      </c>
      <c r="J17">
        <v>2323</v>
      </c>
      <c r="K17">
        <v>30981</v>
      </c>
      <c r="L17">
        <v>14580</v>
      </c>
      <c r="M17">
        <v>5.05</v>
      </c>
      <c r="N17" s="6">
        <v>23602</v>
      </c>
      <c r="O17" s="6">
        <v>97006</v>
      </c>
      <c r="P17" s="3">
        <v>4850740788</v>
      </c>
      <c r="Q17">
        <v>238506</v>
      </c>
      <c r="R17" s="3">
        <v>13016982447733.199</v>
      </c>
      <c r="S17" s="3">
        <v>4338.9809999999998</v>
      </c>
      <c r="T17" s="3">
        <v>50.128</v>
      </c>
      <c r="U17">
        <v>51139</v>
      </c>
      <c r="V17" s="11">
        <v>39.6</v>
      </c>
      <c r="W17" s="16">
        <v>171.2</v>
      </c>
    </row>
    <row r="18" spans="1:23" x14ac:dyDescent="0.3">
      <c r="A18">
        <v>1986</v>
      </c>
      <c r="B18" s="1">
        <v>96.204750061035156</v>
      </c>
      <c r="C18" s="1">
        <v>81.497161865234375</v>
      </c>
      <c r="D18">
        <v>14580</v>
      </c>
      <c r="E18">
        <v>52868</v>
      </c>
      <c r="F18">
        <v>0</v>
      </c>
      <c r="G18">
        <v>67448</v>
      </c>
      <c r="H18">
        <v>20600</v>
      </c>
      <c r="I18">
        <v>32087</v>
      </c>
      <c r="J18">
        <v>2885</v>
      </c>
      <c r="K18">
        <v>34972</v>
      </c>
      <c r="L18">
        <v>11876</v>
      </c>
      <c r="M18">
        <v>4.78</v>
      </c>
      <c r="N18" s="6">
        <v>20052</v>
      </c>
      <c r="O18" s="6">
        <v>98022</v>
      </c>
      <c r="P18" s="3">
        <v>4937711562</v>
      </c>
      <c r="Q18">
        <v>240683</v>
      </c>
      <c r="R18" s="3">
        <v>15348439146362.6</v>
      </c>
      <c r="S18" s="3">
        <v>4579.6329999999998</v>
      </c>
      <c r="T18" s="3">
        <v>51.219000000000001</v>
      </c>
      <c r="U18">
        <v>55572</v>
      </c>
      <c r="V18" s="11">
        <v>40.9</v>
      </c>
      <c r="W18" s="16">
        <v>110.6</v>
      </c>
    </row>
    <row r="19" spans="1:23" x14ac:dyDescent="0.3">
      <c r="A19">
        <v>1987</v>
      </c>
      <c r="B19" s="1">
        <v>86.343116760253906</v>
      </c>
      <c r="C19" s="1">
        <v>79.408096313476563</v>
      </c>
      <c r="D19">
        <v>11876</v>
      </c>
      <c r="E19">
        <v>52736</v>
      </c>
      <c r="F19">
        <v>34</v>
      </c>
      <c r="G19">
        <v>64646</v>
      </c>
      <c r="H19">
        <v>21870</v>
      </c>
      <c r="I19">
        <v>31957</v>
      </c>
      <c r="J19">
        <v>2587</v>
      </c>
      <c r="K19">
        <v>34544</v>
      </c>
      <c r="L19">
        <v>8232</v>
      </c>
      <c r="M19">
        <v>5.88</v>
      </c>
      <c r="N19" s="6">
        <v>20636</v>
      </c>
      <c r="O19" s="6">
        <v>103631</v>
      </c>
      <c r="P19" s="3">
        <v>5027030278</v>
      </c>
      <c r="Q19">
        <v>242843</v>
      </c>
      <c r="R19" s="3">
        <v>17472239624529</v>
      </c>
      <c r="S19" s="3">
        <v>4855.2160000000003</v>
      </c>
      <c r="T19" s="3">
        <v>52.802</v>
      </c>
      <c r="U19">
        <v>56414</v>
      </c>
      <c r="V19" s="11">
        <v>42.6</v>
      </c>
      <c r="W19" s="16">
        <v>177.3</v>
      </c>
    </row>
    <row r="20" spans="1:23" x14ac:dyDescent="0.3">
      <c r="A20">
        <v>1988</v>
      </c>
      <c r="B20" s="1">
        <v>88.247077941894531</v>
      </c>
      <c r="C20" s="1">
        <v>94.016883850097656</v>
      </c>
      <c r="D20">
        <v>8232</v>
      </c>
      <c r="E20">
        <v>42153</v>
      </c>
      <c r="F20">
        <v>98</v>
      </c>
      <c r="G20">
        <v>50483</v>
      </c>
      <c r="H20">
        <v>14355</v>
      </c>
      <c r="I20">
        <v>28794</v>
      </c>
      <c r="J20">
        <v>2380</v>
      </c>
      <c r="K20">
        <v>31174</v>
      </c>
      <c r="L20">
        <v>4954</v>
      </c>
      <c r="M20">
        <v>7.42</v>
      </c>
      <c r="N20" s="6">
        <v>19276</v>
      </c>
      <c r="O20" s="6">
        <v>95833</v>
      </c>
      <c r="P20" s="3">
        <v>5117167006</v>
      </c>
      <c r="Q20">
        <v>245061</v>
      </c>
      <c r="R20" s="3">
        <v>19524821807843.898</v>
      </c>
      <c r="S20" s="3">
        <v>5236.4380000000001</v>
      </c>
      <c r="T20" s="3">
        <v>54.865000000000002</v>
      </c>
      <c r="U20">
        <v>45529</v>
      </c>
      <c r="V20" s="11">
        <v>44.3</v>
      </c>
      <c r="W20" s="16">
        <v>234.8</v>
      </c>
    </row>
    <row r="21" spans="1:23" x14ac:dyDescent="0.3">
      <c r="A21">
        <v>1989</v>
      </c>
      <c r="B21" s="1">
        <v>90.934188842773438</v>
      </c>
      <c r="C21" s="1">
        <v>84.0772705078125</v>
      </c>
      <c r="D21">
        <v>4954</v>
      </c>
      <c r="E21">
        <v>52354</v>
      </c>
      <c r="F21">
        <v>68</v>
      </c>
      <c r="G21">
        <v>57376</v>
      </c>
      <c r="H21">
        <v>16933</v>
      </c>
      <c r="I21">
        <v>31189</v>
      </c>
      <c r="J21">
        <v>2746</v>
      </c>
      <c r="K21">
        <v>33935</v>
      </c>
      <c r="L21">
        <v>6508</v>
      </c>
      <c r="M21">
        <v>5.69</v>
      </c>
      <c r="N21" s="6">
        <v>21550</v>
      </c>
      <c r="O21" s="6">
        <v>107202</v>
      </c>
      <c r="P21" s="3">
        <v>5207654866</v>
      </c>
      <c r="Q21">
        <v>247387</v>
      </c>
      <c r="R21" s="3">
        <v>20395813960211</v>
      </c>
      <c r="S21" s="3">
        <v>5641.58</v>
      </c>
      <c r="T21" s="3">
        <v>57.261000000000003</v>
      </c>
      <c r="U21">
        <v>50868</v>
      </c>
      <c r="V21" s="11">
        <v>46.8</v>
      </c>
      <c r="W21" s="16">
        <v>218.2</v>
      </c>
    </row>
    <row r="22" spans="1:23" x14ac:dyDescent="0.3">
      <c r="A22">
        <v>1990</v>
      </c>
      <c r="B22" s="1">
        <v>90.342483520507813</v>
      </c>
      <c r="C22" s="1">
        <v>84.066162109375</v>
      </c>
      <c r="D22">
        <v>6508</v>
      </c>
      <c r="E22">
        <v>52416</v>
      </c>
      <c r="F22">
        <v>95</v>
      </c>
      <c r="G22">
        <v>59019</v>
      </c>
      <c r="H22">
        <v>15150</v>
      </c>
      <c r="I22">
        <v>32305</v>
      </c>
      <c r="J22">
        <v>2609</v>
      </c>
      <c r="K22">
        <v>34914</v>
      </c>
      <c r="L22">
        <v>8955</v>
      </c>
      <c r="M22">
        <v>5.74</v>
      </c>
      <c r="N22" s="6">
        <v>21389</v>
      </c>
      <c r="O22" s="6">
        <v>104288</v>
      </c>
      <c r="P22" s="3">
        <v>5299246757</v>
      </c>
      <c r="Q22">
        <v>250181</v>
      </c>
      <c r="R22" s="3">
        <v>22922751084575</v>
      </c>
      <c r="S22" s="3">
        <v>5963.1450000000004</v>
      </c>
      <c r="T22" s="3">
        <v>59.774999999999999</v>
      </c>
      <c r="U22">
        <v>50064</v>
      </c>
      <c r="V22" s="11">
        <v>49.5</v>
      </c>
      <c r="W22" s="16">
        <v>234.8</v>
      </c>
    </row>
    <row r="23" spans="1:23" x14ac:dyDescent="0.3">
      <c r="A23">
        <v>1991</v>
      </c>
      <c r="B23" s="1">
        <v>86.577346801757813</v>
      </c>
      <c r="C23" s="1">
        <v>82.594825744628906</v>
      </c>
      <c r="D23">
        <v>8955</v>
      </c>
      <c r="E23">
        <v>54065</v>
      </c>
      <c r="F23">
        <v>94</v>
      </c>
      <c r="G23">
        <v>63114</v>
      </c>
      <c r="H23">
        <v>18614</v>
      </c>
      <c r="I23">
        <v>34128</v>
      </c>
      <c r="J23">
        <v>2794</v>
      </c>
      <c r="K23">
        <v>36922</v>
      </c>
      <c r="L23">
        <v>7578</v>
      </c>
      <c r="M23">
        <v>5.58</v>
      </c>
      <c r="N23" s="6">
        <v>19470</v>
      </c>
      <c r="O23" s="6">
        <v>107280</v>
      </c>
      <c r="P23" s="3">
        <v>5388496229</v>
      </c>
      <c r="Q23">
        <v>253530</v>
      </c>
      <c r="R23" s="3">
        <v>23920903881560.898</v>
      </c>
      <c r="S23" s="3">
        <v>6158.1289999999999</v>
      </c>
      <c r="T23" s="3">
        <v>61.774000000000001</v>
      </c>
      <c r="U23">
        <v>55536</v>
      </c>
      <c r="V23" s="11">
        <v>51.3</v>
      </c>
      <c r="W23" s="16">
        <v>190.9</v>
      </c>
    </row>
    <row r="24" spans="1:23" x14ac:dyDescent="0.3">
      <c r="A24">
        <v>1992</v>
      </c>
      <c r="B24" s="1">
        <v>83.473403930664063</v>
      </c>
      <c r="C24" s="1">
        <v>86.182106018066406</v>
      </c>
      <c r="D24">
        <v>7578</v>
      </c>
      <c r="E24">
        <v>59612</v>
      </c>
      <c r="F24">
        <v>56</v>
      </c>
      <c r="G24">
        <v>67246</v>
      </c>
      <c r="H24">
        <v>20972</v>
      </c>
      <c r="I24">
        <v>34808</v>
      </c>
      <c r="J24">
        <v>3503</v>
      </c>
      <c r="K24">
        <v>38319</v>
      </c>
      <c r="L24">
        <v>7955</v>
      </c>
      <c r="M24">
        <v>5.56</v>
      </c>
      <c r="N24" s="6">
        <v>21554</v>
      </c>
      <c r="O24" s="6">
        <v>117204</v>
      </c>
      <c r="P24" s="3">
        <v>5477123966</v>
      </c>
      <c r="Q24">
        <v>256922</v>
      </c>
      <c r="R24" s="3">
        <v>25546959069356.801</v>
      </c>
      <c r="S24" s="3">
        <v>6520.3270000000002</v>
      </c>
      <c r="T24" s="3">
        <v>63.42</v>
      </c>
      <c r="U24">
        <v>59291</v>
      </c>
      <c r="V24" s="11">
        <v>52</v>
      </c>
      <c r="W24" s="16">
        <v>131.80000000000001</v>
      </c>
    </row>
    <row r="25" spans="1:23" x14ac:dyDescent="0.3">
      <c r="A25">
        <v>1993</v>
      </c>
      <c r="B25" s="1">
        <v>81.141952514648438</v>
      </c>
      <c r="C25" s="1">
        <v>84.289794921875</v>
      </c>
      <c r="D25">
        <v>7955</v>
      </c>
      <c r="E25">
        <v>50885</v>
      </c>
      <c r="F25">
        <v>175</v>
      </c>
      <c r="G25">
        <v>59015</v>
      </c>
      <c r="H25">
        <v>16006</v>
      </c>
      <c r="I25">
        <v>34716</v>
      </c>
      <c r="J25">
        <v>2602</v>
      </c>
      <c r="K25">
        <v>37318</v>
      </c>
      <c r="L25">
        <v>5691</v>
      </c>
      <c r="M25">
        <v>6.4</v>
      </c>
      <c r="N25" s="6">
        <v>18783</v>
      </c>
      <c r="O25" s="6">
        <v>117565</v>
      </c>
      <c r="P25" s="3">
        <v>5564778621</v>
      </c>
      <c r="Q25">
        <v>260282</v>
      </c>
      <c r="R25" s="3">
        <v>25974923485795.5</v>
      </c>
      <c r="S25" s="3">
        <v>6858.5590000000002</v>
      </c>
      <c r="T25" s="3">
        <v>65</v>
      </c>
      <c r="U25">
        <v>53324</v>
      </c>
      <c r="V25" s="11">
        <v>53.1</v>
      </c>
      <c r="W25" s="16">
        <v>140.9</v>
      </c>
    </row>
    <row r="26" spans="1:23" x14ac:dyDescent="0.3">
      <c r="A26">
        <v>1994</v>
      </c>
      <c r="B26" s="1">
        <v>85.531700134277344</v>
      </c>
      <c r="C26" s="1">
        <v>77.336288452148438</v>
      </c>
      <c r="D26">
        <v>5691</v>
      </c>
      <c r="E26">
        <v>68444</v>
      </c>
      <c r="F26">
        <v>149</v>
      </c>
      <c r="G26">
        <v>74284</v>
      </c>
      <c r="H26">
        <v>22867</v>
      </c>
      <c r="I26">
        <v>38242</v>
      </c>
      <c r="J26">
        <v>4063</v>
      </c>
      <c r="K26">
        <v>42305</v>
      </c>
      <c r="L26">
        <v>9112</v>
      </c>
      <c r="M26">
        <v>5.48</v>
      </c>
      <c r="N26" s="6">
        <v>24720</v>
      </c>
      <c r="O26" s="6">
        <v>137636</v>
      </c>
      <c r="P26" s="3">
        <v>5650853178</v>
      </c>
      <c r="Q26">
        <v>263455</v>
      </c>
      <c r="R26" s="3">
        <v>27961448359307.602</v>
      </c>
      <c r="S26" s="3">
        <v>7287.2370000000001</v>
      </c>
      <c r="T26" s="3">
        <v>66.356999999999999</v>
      </c>
      <c r="U26">
        <v>65172</v>
      </c>
      <c r="V26" s="11">
        <v>54.3</v>
      </c>
      <c r="W26" s="16">
        <v>125.8</v>
      </c>
    </row>
    <row r="27" spans="1:23" x14ac:dyDescent="0.3">
      <c r="A27">
        <v>1995</v>
      </c>
      <c r="B27" s="1">
        <v>86.893562316894531</v>
      </c>
      <c r="C27" s="1">
        <v>77.72540283203125</v>
      </c>
      <c r="D27">
        <v>9112</v>
      </c>
      <c r="E27">
        <v>59174</v>
      </c>
      <c r="F27">
        <v>121</v>
      </c>
      <c r="G27">
        <v>68407</v>
      </c>
      <c r="H27">
        <v>23108</v>
      </c>
      <c r="I27">
        <v>37273</v>
      </c>
      <c r="J27">
        <v>3033</v>
      </c>
      <c r="K27">
        <v>40306</v>
      </c>
      <c r="L27">
        <v>4993</v>
      </c>
      <c r="M27">
        <v>6.72</v>
      </c>
      <c r="N27" s="6">
        <v>18538</v>
      </c>
      <c r="O27" s="6">
        <v>124683</v>
      </c>
      <c r="P27" s="3">
        <v>5736505517</v>
      </c>
      <c r="Q27">
        <v>266588</v>
      </c>
      <c r="R27" s="3">
        <v>31245419629026</v>
      </c>
      <c r="S27" s="3">
        <v>7639.7489999999998</v>
      </c>
      <c r="T27" s="3">
        <v>67.754000000000005</v>
      </c>
      <c r="U27">
        <v>63414</v>
      </c>
      <c r="V27" s="11">
        <v>55.8</v>
      </c>
      <c r="W27" s="16">
        <v>121.2</v>
      </c>
    </row>
    <row r="28" spans="1:23" x14ac:dyDescent="0.3">
      <c r="A28">
        <v>1996</v>
      </c>
      <c r="B28" s="1">
        <v>87.71954345703125</v>
      </c>
      <c r="C28" s="1">
        <v>83.900634765625</v>
      </c>
      <c r="D28">
        <v>4993</v>
      </c>
      <c r="E28">
        <v>64780</v>
      </c>
      <c r="F28">
        <v>242</v>
      </c>
      <c r="G28">
        <v>70015</v>
      </c>
      <c r="H28">
        <v>24110</v>
      </c>
      <c r="I28">
        <v>39080</v>
      </c>
      <c r="J28">
        <v>3237</v>
      </c>
      <c r="K28">
        <v>42317</v>
      </c>
      <c r="L28">
        <v>3588</v>
      </c>
      <c r="M28">
        <v>7.35</v>
      </c>
      <c r="N28" s="6">
        <v>15499</v>
      </c>
      <c r="O28" s="6">
        <v>131932</v>
      </c>
      <c r="P28" s="3">
        <v>5822614627</v>
      </c>
      <c r="Q28">
        <v>269714</v>
      </c>
      <c r="R28" s="3">
        <v>31968950237590.699</v>
      </c>
      <c r="S28" s="3">
        <v>8073.1220000000003</v>
      </c>
      <c r="T28" s="3">
        <v>69.203000000000003</v>
      </c>
      <c r="U28">
        <v>66427</v>
      </c>
      <c r="V28" s="11">
        <v>57.6</v>
      </c>
      <c r="W28" s="16">
        <v>107.6</v>
      </c>
    </row>
    <row r="29" spans="1:23" x14ac:dyDescent="0.3">
      <c r="A29">
        <v>1997</v>
      </c>
      <c r="B29" s="1">
        <v>94.477149963378906</v>
      </c>
      <c r="C29" s="1">
        <v>87.958404541015625</v>
      </c>
      <c r="D29">
        <v>3588</v>
      </c>
      <c r="E29">
        <v>73176</v>
      </c>
      <c r="F29">
        <v>136</v>
      </c>
      <c r="G29">
        <v>76900</v>
      </c>
      <c r="H29">
        <v>23796</v>
      </c>
      <c r="I29">
        <v>43464</v>
      </c>
      <c r="J29">
        <v>4202</v>
      </c>
      <c r="K29">
        <v>47666</v>
      </c>
      <c r="L29">
        <v>5438</v>
      </c>
      <c r="M29">
        <v>6.47</v>
      </c>
      <c r="N29" s="6">
        <v>26988</v>
      </c>
      <c r="O29" s="6">
        <v>157963</v>
      </c>
      <c r="P29" s="3">
        <v>5908466558</v>
      </c>
      <c r="Q29">
        <v>272958</v>
      </c>
      <c r="R29" s="3">
        <v>31870560107975.699</v>
      </c>
      <c r="S29" s="3">
        <v>8577.5529999999999</v>
      </c>
      <c r="T29" s="3">
        <v>70.406999999999996</v>
      </c>
      <c r="U29">
        <v>71462</v>
      </c>
      <c r="V29" s="11">
        <v>59.2</v>
      </c>
      <c r="W29" s="16">
        <v>95.5</v>
      </c>
    </row>
    <row r="30" spans="1:23" x14ac:dyDescent="0.3">
      <c r="A30">
        <v>1998</v>
      </c>
      <c r="B30" s="1">
        <v>90.744613647460938</v>
      </c>
      <c r="C30" s="1">
        <v>95.42041015625</v>
      </c>
      <c r="D30">
        <v>5438</v>
      </c>
      <c r="E30">
        <v>74598</v>
      </c>
      <c r="F30">
        <v>96</v>
      </c>
      <c r="G30">
        <v>80132</v>
      </c>
      <c r="H30">
        <v>21899</v>
      </c>
      <c r="I30">
        <v>43262</v>
      </c>
      <c r="J30">
        <v>5487</v>
      </c>
      <c r="K30">
        <v>48749</v>
      </c>
      <c r="L30">
        <v>9484</v>
      </c>
      <c r="M30">
        <v>4.93</v>
      </c>
      <c r="N30" s="6">
        <v>28709</v>
      </c>
      <c r="O30" s="6">
        <v>159831</v>
      </c>
      <c r="P30" s="3">
        <v>5994040064</v>
      </c>
      <c r="Q30">
        <v>276154</v>
      </c>
      <c r="R30" s="3">
        <v>31733749169046.699</v>
      </c>
      <c r="S30" s="3">
        <v>9062.8169999999991</v>
      </c>
      <c r="T30" s="3">
        <v>70.966999999999999</v>
      </c>
      <c r="U30">
        <v>70648</v>
      </c>
      <c r="V30" s="11">
        <v>60.4</v>
      </c>
      <c r="W30" s="16">
        <v>65.2</v>
      </c>
    </row>
    <row r="31" spans="1:23" x14ac:dyDescent="0.3">
      <c r="A31">
        <v>1999</v>
      </c>
      <c r="B31" s="1">
        <v>90.397735595703125</v>
      </c>
      <c r="C31" s="1">
        <v>104.23922729492188</v>
      </c>
      <c r="D31">
        <v>9484</v>
      </c>
      <c r="E31">
        <v>72224</v>
      </c>
      <c r="F31">
        <v>114</v>
      </c>
      <c r="G31">
        <v>81822</v>
      </c>
      <c r="H31">
        <v>26537</v>
      </c>
      <c r="I31">
        <v>42927</v>
      </c>
      <c r="J31">
        <v>4461</v>
      </c>
      <c r="K31">
        <v>47388</v>
      </c>
      <c r="L31">
        <v>7897</v>
      </c>
      <c r="M31">
        <v>4.63</v>
      </c>
      <c r="N31" s="6">
        <v>30060</v>
      </c>
      <c r="O31" s="6">
        <v>160298</v>
      </c>
      <c r="P31" s="3">
        <v>6078404337</v>
      </c>
      <c r="Q31">
        <v>279328</v>
      </c>
      <c r="R31" s="3">
        <v>32782827769545.301</v>
      </c>
      <c r="S31" s="3">
        <v>9631.1720000000005</v>
      </c>
      <c r="T31" s="3">
        <v>72.001000000000005</v>
      </c>
      <c r="U31">
        <v>73925</v>
      </c>
      <c r="V31" s="11">
        <v>61.7</v>
      </c>
      <c r="W31" s="16">
        <v>97</v>
      </c>
    </row>
    <row r="32" spans="1:23" x14ac:dyDescent="0.3">
      <c r="A32">
        <v>2000</v>
      </c>
      <c r="B32" s="1">
        <v>95.705078125</v>
      </c>
      <c r="C32" s="1">
        <v>110.65268707275391</v>
      </c>
      <c r="D32">
        <v>7897</v>
      </c>
      <c r="E32">
        <v>75055</v>
      </c>
      <c r="F32">
        <v>97</v>
      </c>
      <c r="G32">
        <v>83049</v>
      </c>
      <c r="H32">
        <v>27103</v>
      </c>
      <c r="I32">
        <v>44625</v>
      </c>
      <c r="J32">
        <v>4578</v>
      </c>
      <c r="K32">
        <v>49203</v>
      </c>
      <c r="L32">
        <v>6743</v>
      </c>
      <c r="M32">
        <v>4.54</v>
      </c>
      <c r="N32" s="6">
        <v>34229</v>
      </c>
      <c r="O32" s="6">
        <v>175775</v>
      </c>
      <c r="P32" s="3">
        <v>6161884811</v>
      </c>
      <c r="Q32">
        <v>282398</v>
      </c>
      <c r="R32" s="3">
        <v>33898156427205.898</v>
      </c>
      <c r="S32" s="3">
        <v>10250.951999999999</v>
      </c>
      <c r="T32" s="3">
        <v>73.822000000000003</v>
      </c>
      <c r="U32">
        <v>76306</v>
      </c>
      <c r="V32" s="11">
        <v>63.1</v>
      </c>
      <c r="W32" s="16">
        <v>148.5</v>
      </c>
    </row>
    <row r="33" spans="1:23" x14ac:dyDescent="0.3">
      <c r="A33">
        <v>2001</v>
      </c>
      <c r="B33" s="1">
        <v>97.411094665527344</v>
      </c>
      <c r="C33" s="1">
        <v>117.24627685546875</v>
      </c>
      <c r="D33">
        <v>6743</v>
      </c>
      <c r="E33">
        <v>78672</v>
      </c>
      <c r="F33">
        <v>63</v>
      </c>
      <c r="G33">
        <v>85478</v>
      </c>
      <c r="H33">
        <v>28948</v>
      </c>
      <c r="I33">
        <v>46259</v>
      </c>
      <c r="J33">
        <v>4608</v>
      </c>
      <c r="K33">
        <v>50867</v>
      </c>
      <c r="L33">
        <v>5663</v>
      </c>
      <c r="M33">
        <v>4.38</v>
      </c>
      <c r="N33" s="6">
        <v>37082</v>
      </c>
      <c r="O33" s="6">
        <v>184897</v>
      </c>
      <c r="P33" s="3">
        <v>6245112906</v>
      </c>
      <c r="Q33">
        <v>285225</v>
      </c>
      <c r="R33" s="3">
        <v>33690417699612.699</v>
      </c>
      <c r="S33" s="3">
        <v>10581.929</v>
      </c>
      <c r="T33" s="3">
        <v>75.302000000000007</v>
      </c>
      <c r="U33">
        <v>79815</v>
      </c>
      <c r="V33" s="11">
        <v>65.099999999999994</v>
      </c>
      <c r="W33" s="16">
        <v>121.2</v>
      </c>
    </row>
    <row r="34" spans="1:23" x14ac:dyDescent="0.3">
      <c r="A34">
        <v>2002</v>
      </c>
      <c r="B34" s="1">
        <v>99.173980712890625</v>
      </c>
      <c r="C34" s="1">
        <v>103.79281616210938</v>
      </c>
      <c r="D34">
        <v>5663</v>
      </c>
      <c r="E34">
        <v>75010</v>
      </c>
      <c r="F34">
        <v>127</v>
      </c>
      <c r="G34">
        <v>80800</v>
      </c>
      <c r="H34">
        <v>28423</v>
      </c>
      <c r="I34">
        <v>43948</v>
      </c>
      <c r="J34">
        <v>3576</v>
      </c>
      <c r="K34">
        <v>47524</v>
      </c>
      <c r="L34">
        <v>4853</v>
      </c>
      <c r="M34">
        <v>5.53</v>
      </c>
      <c r="N34" s="6">
        <v>44854</v>
      </c>
      <c r="O34" s="6">
        <v>196827</v>
      </c>
      <c r="P34" s="3">
        <v>6327557399</v>
      </c>
      <c r="Q34">
        <v>287955</v>
      </c>
      <c r="R34" s="3">
        <v>34991525564916.898</v>
      </c>
      <c r="S34" s="3">
        <v>10929.108</v>
      </c>
      <c r="T34" s="3">
        <v>76.290999999999997</v>
      </c>
      <c r="U34">
        <v>75947</v>
      </c>
      <c r="V34" s="11">
        <v>66.3</v>
      </c>
      <c r="W34" s="16">
        <v>104.5</v>
      </c>
    </row>
    <row r="35" spans="1:23" x14ac:dyDescent="0.3">
      <c r="A35">
        <v>2003</v>
      </c>
      <c r="B35" s="1">
        <v>96.531166076660156</v>
      </c>
      <c r="C35" s="1">
        <v>96.601188659667969</v>
      </c>
      <c r="D35">
        <v>4853</v>
      </c>
      <c r="E35">
        <v>66783</v>
      </c>
      <c r="F35">
        <v>151</v>
      </c>
      <c r="G35">
        <v>71787</v>
      </c>
      <c r="H35">
        <v>24128</v>
      </c>
      <c r="I35">
        <v>41632</v>
      </c>
      <c r="J35">
        <v>2968</v>
      </c>
      <c r="K35">
        <v>44600</v>
      </c>
      <c r="L35">
        <v>3059</v>
      </c>
      <c r="M35">
        <v>7.34</v>
      </c>
      <c r="N35" s="6">
        <v>40391</v>
      </c>
      <c r="O35" s="6">
        <v>186479</v>
      </c>
      <c r="P35" s="3">
        <v>6409750441</v>
      </c>
      <c r="Q35">
        <v>290626</v>
      </c>
      <c r="R35" s="3">
        <v>39243276986261.898</v>
      </c>
      <c r="S35" s="3">
        <v>11456.45</v>
      </c>
      <c r="T35" s="3">
        <v>77.894000000000005</v>
      </c>
      <c r="U35">
        <v>68728</v>
      </c>
      <c r="V35" s="11">
        <v>67.7</v>
      </c>
      <c r="W35" s="16">
        <v>124.2</v>
      </c>
    </row>
    <row r="36" spans="1:23" x14ac:dyDescent="0.3">
      <c r="A36">
        <v>2004</v>
      </c>
      <c r="B36" s="1">
        <v>93.627532958984375</v>
      </c>
      <c r="C36" s="1">
        <v>92.980888366699219</v>
      </c>
      <c r="D36">
        <v>3059</v>
      </c>
      <c r="E36">
        <v>85016</v>
      </c>
      <c r="F36">
        <v>152</v>
      </c>
      <c r="G36">
        <v>88227</v>
      </c>
      <c r="H36">
        <v>29860</v>
      </c>
      <c r="I36">
        <v>46160</v>
      </c>
      <c r="J36">
        <v>5247</v>
      </c>
      <c r="K36">
        <v>51407</v>
      </c>
      <c r="L36">
        <v>6960</v>
      </c>
      <c r="M36">
        <v>5.74</v>
      </c>
      <c r="N36" s="6">
        <v>50058</v>
      </c>
      <c r="O36" s="6">
        <v>215491</v>
      </c>
      <c r="P36" s="3">
        <v>6492769815</v>
      </c>
      <c r="Q36">
        <v>293262</v>
      </c>
      <c r="R36" s="3">
        <v>44225384449869.797</v>
      </c>
      <c r="S36" s="3">
        <v>12217.196</v>
      </c>
      <c r="T36" s="3">
        <v>79.826999999999998</v>
      </c>
      <c r="U36">
        <v>81267</v>
      </c>
      <c r="V36" s="11">
        <v>70</v>
      </c>
      <c r="W36" s="16">
        <v>180.3</v>
      </c>
    </row>
    <row r="37" spans="1:23" x14ac:dyDescent="0.3">
      <c r="A37">
        <v>2005</v>
      </c>
      <c r="B37" s="1">
        <v>94.789031982421875</v>
      </c>
      <c r="C37" s="1">
        <v>91.054237365722656</v>
      </c>
      <c r="D37">
        <v>6960</v>
      </c>
      <c r="E37">
        <v>83507</v>
      </c>
      <c r="F37">
        <v>92</v>
      </c>
      <c r="G37">
        <v>90559</v>
      </c>
      <c r="H37">
        <v>25579</v>
      </c>
      <c r="I37">
        <v>47324</v>
      </c>
      <c r="J37">
        <v>5427</v>
      </c>
      <c r="K37">
        <v>52751</v>
      </c>
      <c r="L37">
        <v>12229</v>
      </c>
      <c r="M37">
        <v>5.66</v>
      </c>
      <c r="N37" s="6">
        <v>55616</v>
      </c>
      <c r="O37" s="6">
        <v>220777</v>
      </c>
      <c r="P37" s="3">
        <v>6575841506</v>
      </c>
      <c r="Q37">
        <v>295993</v>
      </c>
      <c r="R37" s="3">
        <v>47900489808168.898</v>
      </c>
      <c r="S37" s="3">
        <v>13039.197</v>
      </c>
      <c r="T37" s="3">
        <v>82.126999999999995</v>
      </c>
      <c r="U37">
        <v>78330</v>
      </c>
      <c r="V37" s="11">
        <v>71.7</v>
      </c>
      <c r="W37" s="16">
        <v>198.5</v>
      </c>
    </row>
    <row r="38" spans="1:23" x14ac:dyDescent="0.3">
      <c r="A38">
        <v>2006</v>
      </c>
      <c r="B38" s="1">
        <v>92.982452392578125</v>
      </c>
      <c r="C38" s="1">
        <v>84.098709106445313</v>
      </c>
      <c r="D38">
        <v>12229</v>
      </c>
      <c r="E38">
        <v>87001</v>
      </c>
      <c r="F38">
        <v>246</v>
      </c>
      <c r="G38">
        <v>99476</v>
      </c>
      <c r="H38">
        <v>30386</v>
      </c>
      <c r="I38">
        <v>49198</v>
      </c>
      <c r="J38">
        <v>4275</v>
      </c>
      <c r="K38">
        <v>53473</v>
      </c>
      <c r="L38">
        <v>15617</v>
      </c>
      <c r="M38">
        <v>6.43</v>
      </c>
      <c r="N38" s="6">
        <v>65110</v>
      </c>
      <c r="O38" s="6">
        <v>235776</v>
      </c>
      <c r="P38" s="3">
        <v>6659977025</v>
      </c>
      <c r="Q38">
        <v>298818</v>
      </c>
      <c r="R38" s="3">
        <v>51923507284496</v>
      </c>
      <c r="S38" s="3">
        <v>13815.583000000001</v>
      </c>
      <c r="T38" s="3">
        <v>84.44</v>
      </c>
      <c r="U38">
        <v>83859</v>
      </c>
      <c r="V38" s="11">
        <v>73.400000000000006</v>
      </c>
      <c r="W38" s="16">
        <v>160.6</v>
      </c>
    </row>
    <row r="39" spans="1:23" x14ac:dyDescent="0.3">
      <c r="A39">
        <v>2007</v>
      </c>
      <c r="B39" s="1">
        <v>89.185111999511719</v>
      </c>
      <c r="C39" s="1">
        <v>79.869598388671875</v>
      </c>
      <c r="D39">
        <v>15617</v>
      </c>
      <c r="E39">
        <v>72859</v>
      </c>
      <c r="F39">
        <v>269</v>
      </c>
      <c r="G39">
        <v>88745</v>
      </c>
      <c r="H39">
        <v>31538</v>
      </c>
      <c r="I39">
        <v>49081</v>
      </c>
      <c r="J39">
        <v>2546</v>
      </c>
      <c r="K39">
        <v>51627</v>
      </c>
      <c r="L39">
        <v>5580</v>
      </c>
      <c r="M39">
        <v>10.1</v>
      </c>
      <c r="N39" s="6">
        <v>54661</v>
      </c>
      <c r="O39" s="6">
        <v>219309</v>
      </c>
      <c r="P39" s="3">
        <v>6744489399</v>
      </c>
      <c r="Q39">
        <v>301696</v>
      </c>
      <c r="R39" s="3">
        <v>58525785801185.797</v>
      </c>
      <c r="S39" s="3">
        <v>14474.227000000001</v>
      </c>
      <c r="T39" s="3">
        <v>86.606999999999999</v>
      </c>
      <c r="U39">
        <v>83165</v>
      </c>
      <c r="V39" s="11">
        <v>76.3</v>
      </c>
      <c r="W39" s="16">
        <v>159.1</v>
      </c>
    </row>
    <row r="40" spans="1:23" x14ac:dyDescent="0.3">
      <c r="A40">
        <v>2008</v>
      </c>
      <c r="B40" s="1">
        <v>92.104118347167969</v>
      </c>
      <c r="C40" s="1">
        <v>84.344528198242188</v>
      </c>
      <c r="D40">
        <v>5580</v>
      </c>
      <c r="E40">
        <v>80749</v>
      </c>
      <c r="F40">
        <v>361</v>
      </c>
      <c r="G40">
        <v>86690</v>
      </c>
      <c r="H40">
        <v>34817</v>
      </c>
      <c r="I40">
        <v>45230</v>
      </c>
      <c r="J40">
        <v>2882</v>
      </c>
      <c r="K40">
        <v>48112</v>
      </c>
      <c r="L40">
        <v>3761</v>
      </c>
      <c r="M40">
        <v>9.9700000000000006</v>
      </c>
      <c r="N40" s="6">
        <v>45640</v>
      </c>
      <c r="O40" s="6">
        <v>212295</v>
      </c>
      <c r="P40" s="3">
        <v>6830513541</v>
      </c>
      <c r="Q40">
        <v>304543</v>
      </c>
      <c r="R40" s="3">
        <v>64311729364641.297</v>
      </c>
      <c r="S40" s="3">
        <v>14769.861999999999</v>
      </c>
      <c r="T40" s="3">
        <v>89.17</v>
      </c>
      <c r="U40">
        <v>82929</v>
      </c>
      <c r="V40" s="11">
        <v>80.400000000000006</v>
      </c>
      <c r="W40" s="16">
        <v>113.6</v>
      </c>
    </row>
    <row r="41" spans="1:23" x14ac:dyDescent="0.3">
      <c r="A41">
        <v>2009</v>
      </c>
      <c r="B41" s="1">
        <v>85.875267028808594</v>
      </c>
      <c r="C41" s="1">
        <v>82.045845031738281</v>
      </c>
      <c r="D41">
        <v>3761</v>
      </c>
      <c r="E41">
        <v>91470</v>
      </c>
      <c r="F41">
        <v>397</v>
      </c>
      <c r="G41">
        <v>95628</v>
      </c>
      <c r="H41">
        <v>40798</v>
      </c>
      <c r="I41">
        <v>47673</v>
      </c>
      <c r="J41">
        <v>3051</v>
      </c>
      <c r="K41">
        <v>50724</v>
      </c>
      <c r="L41">
        <v>4106</v>
      </c>
      <c r="M41">
        <v>9.59</v>
      </c>
      <c r="N41" s="6">
        <v>62808</v>
      </c>
      <c r="O41" s="6">
        <v>260986</v>
      </c>
      <c r="P41" s="3">
        <v>6916589116</v>
      </c>
      <c r="Q41">
        <v>307240</v>
      </c>
      <c r="R41" s="3">
        <v>60982255960004.398</v>
      </c>
      <c r="S41" s="3">
        <v>14478.066999999999</v>
      </c>
      <c r="T41" s="3">
        <v>88.921000000000006</v>
      </c>
      <c r="U41">
        <v>91522</v>
      </c>
      <c r="V41" s="11">
        <v>81.900000000000006</v>
      </c>
      <c r="W41" s="16">
        <v>12.1</v>
      </c>
    </row>
    <row r="42" spans="1:23" x14ac:dyDescent="0.3">
      <c r="A42">
        <v>2010</v>
      </c>
      <c r="B42" s="1">
        <v>82.576629638671875</v>
      </c>
      <c r="C42" s="1">
        <v>78.358200073242188</v>
      </c>
      <c r="D42">
        <v>4106</v>
      </c>
      <c r="E42">
        <v>90663</v>
      </c>
      <c r="F42">
        <v>393</v>
      </c>
      <c r="G42">
        <v>95162</v>
      </c>
      <c r="H42">
        <v>40959</v>
      </c>
      <c r="I42">
        <v>44851</v>
      </c>
      <c r="J42">
        <v>3500</v>
      </c>
      <c r="K42">
        <v>48351</v>
      </c>
      <c r="L42">
        <v>5852</v>
      </c>
      <c r="M42">
        <v>11.3</v>
      </c>
      <c r="N42" s="6">
        <v>73496</v>
      </c>
      <c r="O42" s="6">
        <v>265046</v>
      </c>
      <c r="P42" s="3">
        <v>7001266876</v>
      </c>
      <c r="Q42">
        <v>309839</v>
      </c>
      <c r="R42" s="3">
        <v>66811191491614.898</v>
      </c>
      <c r="S42" s="3">
        <v>15048.971</v>
      </c>
      <c r="T42" s="3">
        <v>90.513999999999996</v>
      </c>
      <c r="U42">
        <v>89310</v>
      </c>
      <c r="V42" s="11">
        <v>82.5</v>
      </c>
      <c r="W42" s="16">
        <v>101.5</v>
      </c>
    </row>
    <row r="43" spans="1:23" x14ac:dyDescent="0.3">
      <c r="A43">
        <v>2011</v>
      </c>
      <c r="B43" s="1">
        <v>83.533126831054688</v>
      </c>
      <c r="C43" s="1">
        <v>83.055450439453125</v>
      </c>
      <c r="D43">
        <v>5852</v>
      </c>
      <c r="E43">
        <v>84291</v>
      </c>
      <c r="F43">
        <v>439</v>
      </c>
      <c r="G43">
        <v>90582</v>
      </c>
      <c r="H43">
        <v>37186</v>
      </c>
      <c r="I43">
        <v>46348</v>
      </c>
      <c r="J43">
        <v>2438</v>
      </c>
      <c r="K43">
        <v>48786</v>
      </c>
      <c r="L43">
        <v>4610</v>
      </c>
      <c r="M43">
        <v>12.5</v>
      </c>
      <c r="N43" s="6">
        <v>58058</v>
      </c>
      <c r="O43" s="6">
        <v>241166</v>
      </c>
      <c r="P43" s="3">
        <v>7087120034</v>
      </c>
      <c r="Q43">
        <v>312295</v>
      </c>
      <c r="R43" s="3">
        <v>74309709353789.203</v>
      </c>
      <c r="S43" s="3">
        <v>15599.732</v>
      </c>
      <c r="T43" s="3">
        <v>92.804000000000002</v>
      </c>
      <c r="U43">
        <v>85972</v>
      </c>
      <c r="V43" s="11">
        <v>85.5</v>
      </c>
      <c r="W43" s="16">
        <v>116.7</v>
      </c>
    </row>
    <row r="44" spans="1:23" x14ac:dyDescent="0.3">
      <c r="A44">
        <v>2012</v>
      </c>
      <c r="B44" s="1">
        <v>86.908031463623047</v>
      </c>
      <c r="C44" s="1">
        <v>83.028944651285812</v>
      </c>
      <c r="D44">
        <v>4610</v>
      </c>
      <c r="E44">
        <v>82791</v>
      </c>
      <c r="F44">
        <v>1103</v>
      </c>
      <c r="G44">
        <v>88504</v>
      </c>
      <c r="H44">
        <v>36129</v>
      </c>
      <c r="I44">
        <v>45967</v>
      </c>
      <c r="J44">
        <v>2583</v>
      </c>
      <c r="K44">
        <v>48550</v>
      </c>
      <c r="L44">
        <v>3825</v>
      </c>
      <c r="M44">
        <v>14.4</v>
      </c>
      <c r="N44" s="6">
        <v>58314</v>
      </c>
      <c r="O44" s="6">
        <v>268923</v>
      </c>
      <c r="P44" s="3">
        <v>7176929184</v>
      </c>
      <c r="Q44">
        <v>314725</v>
      </c>
      <c r="R44" s="3">
        <v>75960594595757</v>
      </c>
      <c r="S44" s="3">
        <v>16253.97</v>
      </c>
      <c r="T44" s="3">
        <v>94.534000000000006</v>
      </c>
      <c r="U44">
        <v>84679</v>
      </c>
      <c r="V44" s="11">
        <v>87.6</v>
      </c>
      <c r="W44" s="16">
        <v>125.8</v>
      </c>
    </row>
    <row r="45" spans="1:23" x14ac:dyDescent="0.3">
      <c r="A45">
        <v>2013</v>
      </c>
      <c r="B45" s="1">
        <v>89.235856374104813</v>
      </c>
      <c r="C45" s="1">
        <v>86.381656646728516</v>
      </c>
      <c r="D45">
        <v>3825</v>
      </c>
      <c r="E45">
        <v>91363</v>
      </c>
      <c r="F45">
        <v>1953</v>
      </c>
      <c r="G45">
        <v>97141</v>
      </c>
      <c r="H45">
        <v>44594</v>
      </c>
      <c r="I45">
        <v>47192</v>
      </c>
      <c r="J45">
        <v>2851</v>
      </c>
      <c r="K45">
        <v>50043</v>
      </c>
      <c r="L45">
        <v>2504</v>
      </c>
      <c r="M45">
        <v>13</v>
      </c>
      <c r="N45" s="6">
        <v>63842</v>
      </c>
      <c r="O45" s="6">
        <v>283320</v>
      </c>
      <c r="P45" s="3">
        <v>7265892332</v>
      </c>
      <c r="Q45">
        <v>317099</v>
      </c>
      <c r="R45" s="3">
        <v>78034892841179.203</v>
      </c>
      <c r="S45" s="3">
        <v>16880.683000000001</v>
      </c>
      <c r="T45" s="3">
        <v>95.781000000000006</v>
      </c>
      <c r="U45">
        <v>94637</v>
      </c>
      <c r="V45" s="11">
        <v>88.9</v>
      </c>
      <c r="W45" s="16">
        <v>100</v>
      </c>
    </row>
    <row r="46" spans="1:23" x14ac:dyDescent="0.3">
      <c r="A46">
        <v>2014</v>
      </c>
      <c r="B46" s="1">
        <v>99.960419972737625</v>
      </c>
      <c r="C46" s="1">
        <v>99.92897478739421</v>
      </c>
      <c r="D46">
        <v>2504</v>
      </c>
      <c r="E46">
        <v>106905</v>
      </c>
      <c r="F46">
        <v>904</v>
      </c>
      <c r="G46">
        <v>110313</v>
      </c>
      <c r="H46">
        <v>50136</v>
      </c>
      <c r="I46">
        <v>50975</v>
      </c>
      <c r="J46">
        <v>4014</v>
      </c>
      <c r="K46">
        <v>54989</v>
      </c>
      <c r="L46">
        <v>5188</v>
      </c>
      <c r="M46">
        <v>10.1</v>
      </c>
      <c r="N46" s="6">
        <v>79309</v>
      </c>
      <c r="O46" s="6">
        <v>321444</v>
      </c>
      <c r="P46" s="3">
        <v>7354068030</v>
      </c>
      <c r="Q46">
        <v>319601</v>
      </c>
      <c r="R46" s="3">
        <v>80054888775431</v>
      </c>
      <c r="S46" s="3">
        <v>17608.137999999999</v>
      </c>
      <c r="T46" s="3">
        <v>97.120999999999995</v>
      </c>
      <c r="U46">
        <v>105125</v>
      </c>
      <c r="V46" s="11">
        <v>90.9</v>
      </c>
      <c r="W46" s="16">
        <v>89.4</v>
      </c>
    </row>
    <row r="47" spans="1:23" x14ac:dyDescent="0.3">
      <c r="A47">
        <v>2015</v>
      </c>
      <c r="B47" s="1">
        <v>103.10752868652344</v>
      </c>
      <c r="C47" s="1">
        <v>103.52058601379395</v>
      </c>
      <c r="D47">
        <v>5188</v>
      </c>
      <c r="E47">
        <v>106869</v>
      </c>
      <c r="F47">
        <v>641</v>
      </c>
      <c r="G47">
        <v>112698</v>
      </c>
      <c r="H47">
        <v>52869</v>
      </c>
      <c r="I47">
        <v>51335</v>
      </c>
      <c r="J47">
        <v>3140</v>
      </c>
      <c r="K47">
        <v>54475</v>
      </c>
      <c r="L47">
        <v>5354</v>
      </c>
      <c r="M47">
        <v>8.9499999999999993</v>
      </c>
      <c r="N47" s="6">
        <v>79694</v>
      </c>
      <c r="O47" s="6">
        <v>316072</v>
      </c>
      <c r="P47" s="3">
        <v>7441677465</v>
      </c>
      <c r="Q47">
        <v>322113</v>
      </c>
      <c r="R47" s="3">
        <v>75621913961646.203</v>
      </c>
      <c r="S47" s="3">
        <v>18295.019</v>
      </c>
      <c r="T47" s="3">
        <v>97.299000000000007</v>
      </c>
      <c r="U47">
        <v>107344</v>
      </c>
      <c r="V47" s="11">
        <v>92.6</v>
      </c>
      <c r="W47" s="16">
        <v>48.5</v>
      </c>
    </row>
    <row r="48" spans="1:23" x14ac:dyDescent="0.3">
      <c r="A48">
        <v>2016</v>
      </c>
      <c r="B48" s="1">
        <v>103.89478556315105</v>
      </c>
      <c r="C48" s="1">
        <v>100.41135597229004</v>
      </c>
      <c r="D48">
        <v>5354</v>
      </c>
      <c r="E48">
        <v>116931</v>
      </c>
      <c r="F48">
        <v>606</v>
      </c>
      <c r="G48">
        <v>122891</v>
      </c>
      <c r="H48">
        <v>58964</v>
      </c>
      <c r="I48">
        <v>51742</v>
      </c>
      <c r="J48">
        <v>3977</v>
      </c>
      <c r="K48">
        <v>55719</v>
      </c>
      <c r="L48">
        <v>8208</v>
      </c>
      <c r="M48">
        <v>9.4700000000000006</v>
      </c>
      <c r="N48" s="6">
        <v>95632</v>
      </c>
      <c r="O48" s="6">
        <v>350805</v>
      </c>
      <c r="P48" s="3">
        <v>7528879985</v>
      </c>
      <c r="Q48">
        <v>324609</v>
      </c>
      <c r="R48" s="3">
        <v>76831684012526.203</v>
      </c>
      <c r="S48" s="3">
        <v>18804.913</v>
      </c>
      <c r="T48" s="3">
        <v>98.284000000000006</v>
      </c>
      <c r="U48">
        <v>114683</v>
      </c>
      <c r="V48" s="11">
        <v>92.9</v>
      </c>
      <c r="W48" s="16">
        <v>80.3</v>
      </c>
    </row>
    <row r="49" spans="1:23" x14ac:dyDescent="0.3">
      <c r="A49">
        <v>2017</v>
      </c>
      <c r="B49" s="1">
        <v>103.23130671183269</v>
      </c>
      <c r="C49" s="1">
        <v>102.3015677134196</v>
      </c>
      <c r="D49">
        <v>8208</v>
      </c>
      <c r="E49">
        <v>120065</v>
      </c>
      <c r="F49">
        <v>594</v>
      </c>
      <c r="G49">
        <v>128867</v>
      </c>
      <c r="H49">
        <v>58071</v>
      </c>
      <c r="I49">
        <v>55926</v>
      </c>
      <c r="J49">
        <v>2947</v>
      </c>
      <c r="K49">
        <v>58873</v>
      </c>
      <c r="L49">
        <v>11923</v>
      </c>
      <c r="M49">
        <v>9.33</v>
      </c>
      <c r="N49" s="6">
        <v>99744</v>
      </c>
      <c r="O49" s="6">
        <v>343632</v>
      </c>
      <c r="P49" s="3">
        <v>7614523410</v>
      </c>
      <c r="Q49">
        <v>326860</v>
      </c>
      <c r="R49" s="3">
        <v>81839102917044.703</v>
      </c>
      <c r="S49" s="3">
        <v>19612.102999999999</v>
      </c>
      <c r="T49" s="3">
        <v>100</v>
      </c>
      <c r="U49">
        <v>116944</v>
      </c>
      <c r="V49" s="11">
        <v>93.7</v>
      </c>
      <c r="W49" s="16">
        <v>118.2</v>
      </c>
    </row>
    <row r="50" spans="1:23" x14ac:dyDescent="0.3">
      <c r="A50">
        <v>2018</v>
      </c>
      <c r="B50" s="1">
        <v>104.58509063720703</v>
      </c>
      <c r="C50" s="1">
        <v>108.06281852722168</v>
      </c>
      <c r="D50">
        <v>11923</v>
      </c>
      <c r="E50">
        <v>120515</v>
      </c>
      <c r="F50">
        <v>383</v>
      </c>
      <c r="G50">
        <v>132821</v>
      </c>
      <c r="H50">
        <v>47721</v>
      </c>
      <c r="I50">
        <v>56935</v>
      </c>
      <c r="J50">
        <v>2989</v>
      </c>
      <c r="K50">
        <v>59924</v>
      </c>
      <c r="L50">
        <v>25176</v>
      </c>
      <c r="M50">
        <v>8.48</v>
      </c>
      <c r="N50" s="6">
        <v>114250</v>
      </c>
      <c r="O50" s="6">
        <v>363451</v>
      </c>
      <c r="P50" s="3">
        <v>7697233736</v>
      </c>
      <c r="Q50">
        <v>328794</v>
      </c>
      <c r="R50" s="3">
        <v>87050964956078.406</v>
      </c>
      <c r="S50" s="3">
        <v>20656.516</v>
      </c>
      <c r="T50" s="3">
        <v>102.047</v>
      </c>
      <c r="U50">
        <v>107645</v>
      </c>
      <c r="V50" s="11">
        <v>95</v>
      </c>
      <c r="W50" s="16">
        <v>134.80000000000001</v>
      </c>
    </row>
    <row r="51" spans="1:23" x14ac:dyDescent="0.3">
      <c r="A51">
        <v>2019</v>
      </c>
      <c r="B51" s="1">
        <v>107.62516212463379</v>
      </c>
      <c r="C51" s="1">
        <v>112.25717480977376</v>
      </c>
      <c r="D51">
        <v>25176</v>
      </c>
      <c r="E51">
        <v>96644</v>
      </c>
      <c r="F51">
        <v>419</v>
      </c>
      <c r="G51">
        <v>122239</v>
      </c>
      <c r="H51">
        <v>45800</v>
      </c>
      <c r="I51">
        <v>58910</v>
      </c>
      <c r="J51">
        <v>2872</v>
      </c>
      <c r="K51">
        <v>61782</v>
      </c>
      <c r="L51">
        <v>14657</v>
      </c>
      <c r="M51">
        <v>8.57</v>
      </c>
      <c r="N51" s="6">
        <v>95198</v>
      </c>
      <c r="O51" s="6">
        <v>341728</v>
      </c>
      <c r="P51" s="3">
        <v>7778008621</v>
      </c>
      <c r="Q51">
        <v>330513</v>
      </c>
      <c r="R51" s="3">
        <v>88483262418196.5</v>
      </c>
      <c r="S51" s="3">
        <v>21539.982</v>
      </c>
      <c r="T51" s="3">
        <v>103.509</v>
      </c>
      <c r="U51">
        <v>107582</v>
      </c>
      <c r="V51" s="11">
        <v>96.8</v>
      </c>
      <c r="W51" s="16">
        <v>87.9</v>
      </c>
    </row>
    <row r="52" spans="1:23" x14ac:dyDescent="0.3">
      <c r="A52">
        <v>2020</v>
      </c>
      <c r="B52" s="1">
        <v>108.32800547281902</v>
      </c>
      <c r="C52" s="1">
        <v>110.50793647766113</v>
      </c>
      <c r="D52">
        <v>14657</v>
      </c>
      <c r="E52">
        <v>114749</v>
      </c>
      <c r="F52">
        <v>539</v>
      </c>
      <c r="G52">
        <v>129945</v>
      </c>
      <c r="H52">
        <v>61664</v>
      </c>
      <c r="I52">
        <v>58257</v>
      </c>
      <c r="J52">
        <v>3030</v>
      </c>
      <c r="K52">
        <v>61287</v>
      </c>
      <c r="L52">
        <v>6994</v>
      </c>
      <c r="M52">
        <v>10.8</v>
      </c>
      <c r="N52" s="6">
        <v>98675</v>
      </c>
      <c r="O52" s="6">
        <v>369626</v>
      </c>
      <c r="P52" s="3">
        <v>7854748424</v>
      </c>
      <c r="Q52">
        <v>331840</v>
      </c>
      <c r="R52" s="3">
        <v>85912761035231.203</v>
      </c>
      <c r="S52" s="3">
        <v>21375.281999999999</v>
      </c>
      <c r="T52" s="3">
        <v>104.666</v>
      </c>
      <c r="U52">
        <v>122951</v>
      </c>
      <c r="V52" s="11">
        <v>100</v>
      </c>
      <c r="W52" s="16">
        <v>100</v>
      </c>
    </row>
    <row r="53" spans="1:23" x14ac:dyDescent="0.3">
      <c r="A53">
        <v>2021</v>
      </c>
      <c r="B53" s="1">
        <v>119.30623626708984</v>
      </c>
      <c r="C53" s="1">
        <v>117.94894282023112</v>
      </c>
      <c r="D53">
        <v>6994</v>
      </c>
      <c r="E53">
        <v>121504</v>
      </c>
      <c r="F53">
        <v>433</v>
      </c>
      <c r="G53">
        <v>128931</v>
      </c>
      <c r="H53">
        <v>58570</v>
      </c>
      <c r="I53">
        <v>59980</v>
      </c>
      <c r="J53">
        <v>2913</v>
      </c>
      <c r="K53">
        <v>62893</v>
      </c>
      <c r="L53">
        <v>7468</v>
      </c>
      <c r="M53">
        <v>13.3</v>
      </c>
      <c r="N53" s="6">
        <v>93530</v>
      </c>
      <c r="O53" s="6">
        <v>360538</v>
      </c>
      <c r="P53" s="3">
        <v>7920514854</v>
      </c>
      <c r="Q53">
        <v>332505</v>
      </c>
      <c r="R53" s="3">
        <v>98140475264975.906</v>
      </c>
      <c r="S53" s="3">
        <v>23725.646000000001</v>
      </c>
      <c r="T53" s="3">
        <v>108.973</v>
      </c>
      <c r="U53">
        <v>121463</v>
      </c>
      <c r="V53" s="11">
        <v>103.8</v>
      </c>
      <c r="W53" s="16">
        <v>378.8</v>
      </c>
    </row>
    <row r="54" spans="1:23" x14ac:dyDescent="0.3">
      <c r="A54">
        <v>2022</v>
      </c>
      <c r="B54" s="1">
        <v>117.78226661682129</v>
      </c>
      <c r="C54" s="1">
        <v>115.50069681803386</v>
      </c>
      <c r="D54">
        <v>7468</v>
      </c>
      <c r="E54">
        <v>116221</v>
      </c>
      <c r="F54">
        <v>667</v>
      </c>
      <c r="G54">
        <v>124356</v>
      </c>
      <c r="H54">
        <v>53864</v>
      </c>
      <c r="I54">
        <v>60199</v>
      </c>
      <c r="J54">
        <v>3103</v>
      </c>
      <c r="K54">
        <v>63302</v>
      </c>
      <c r="L54">
        <v>7190</v>
      </c>
      <c r="M54">
        <v>14.2</v>
      </c>
      <c r="N54" s="6">
        <v>101782</v>
      </c>
      <c r="O54" s="6">
        <v>378360</v>
      </c>
      <c r="P54" s="3">
        <v>7989545217</v>
      </c>
      <c r="Q54">
        <v>334372</v>
      </c>
      <c r="R54" s="3">
        <v>102251524725531</v>
      </c>
      <c r="S54" s="3">
        <v>26054.614000000001</v>
      </c>
      <c r="T54" s="3">
        <v>116.1</v>
      </c>
      <c r="U54">
        <v>117166</v>
      </c>
      <c r="V54" s="11">
        <v>113.8</v>
      </c>
      <c r="W54" s="16">
        <v>395.5</v>
      </c>
    </row>
    <row r="55" spans="1:23" x14ac:dyDescent="0.3">
      <c r="A55">
        <v>2023</v>
      </c>
      <c r="B55" s="1">
        <v>121.21778996785481</v>
      </c>
      <c r="C55" s="1">
        <v>117.15745989481609</v>
      </c>
      <c r="D55">
        <v>7190</v>
      </c>
      <c r="E55">
        <v>113273</v>
      </c>
      <c r="F55">
        <v>567</v>
      </c>
      <c r="G55">
        <v>121030</v>
      </c>
      <c r="H55">
        <v>46266</v>
      </c>
      <c r="I55">
        <v>62196</v>
      </c>
      <c r="J55">
        <v>3249</v>
      </c>
      <c r="K55">
        <v>65445</v>
      </c>
      <c r="L55">
        <v>9319</v>
      </c>
      <c r="M55">
        <v>12.4</v>
      </c>
      <c r="N55" s="6">
        <v>115079</v>
      </c>
      <c r="O55" s="6">
        <v>396348</v>
      </c>
      <c r="P55" s="3">
        <v>8064057930</v>
      </c>
      <c r="Q55">
        <v>337141</v>
      </c>
      <c r="R55" s="3">
        <v>106741647821064</v>
      </c>
      <c r="S55" s="3">
        <v>27811.517</v>
      </c>
      <c r="T55" s="3">
        <v>120.511</v>
      </c>
      <c r="U55">
        <v>111711</v>
      </c>
      <c r="V55" s="11">
        <v>120.2</v>
      </c>
      <c r="W55" s="16">
        <v>163.6</v>
      </c>
    </row>
    <row r="56" spans="1:23" x14ac:dyDescent="0.3">
      <c r="A56">
        <v>2024</v>
      </c>
      <c r="B56" s="1">
        <v>122.45605341593425</v>
      </c>
      <c r="C56" s="1">
        <v>115.30511792500813</v>
      </c>
      <c r="D56">
        <v>9319</v>
      </c>
      <c r="E56">
        <v>119047</v>
      </c>
      <c r="F56">
        <v>789</v>
      </c>
      <c r="G56">
        <v>129155</v>
      </c>
      <c r="H56">
        <v>51227</v>
      </c>
      <c r="I56">
        <v>66546</v>
      </c>
      <c r="J56">
        <v>2542</v>
      </c>
      <c r="K56">
        <v>69088</v>
      </c>
      <c r="L56">
        <v>8840</v>
      </c>
      <c r="M56">
        <v>10</v>
      </c>
      <c r="N56" s="6">
        <v>123658</v>
      </c>
      <c r="O56" s="6">
        <v>427154</v>
      </c>
      <c r="P56" s="3">
        <v>8141808945</v>
      </c>
      <c r="Q56">
        <v>340212</v>
      </c>
      <c r="R56" s="3">
        <v>110982661180013</v>
      </c>
      <c r="S56" s="3">
        <v>29298.012999999999</v>
      </c>
      <c r="T56" s="3">
        <v>123.666</v>
      </c>
      <c r="U56">
        <v>120315</v>
      </c>
      <c r="V56" s="11">
        <v>122.9</v>
      </c>
      <c r="W56" s="16">
        <v>150</v>
      </c>
    </row>
    <row r="57" spans="1:23" x14ac:dyDescent="0.3">
      <c r="A57">
        <v>2025</v>
      </c>
      <c r="B57" s="1">
        <v>123.0113639831543</v>
      </c>
      <c r="C57" s="1">
        <v>117.66338221232097</v>
      </c>
      <c r="D57">
        <v>8840</v>
      </c>
      <c r="E57">
        <v>115989</v>
      </c>
      <c r="F57">
        <v>544</v>
      </c>
      <c r="G57">
        <v>125373</v>
      </c>
      <c r="H57">
        <v>42864</v>
      </c>
      <c r="I57">
        <v>69944</v>
      </c>
      <c r="J57">
        <v>3048</v>
      </c>
      <c r="K57">
        <v>72992</v>
      </c>
      <c r="L57">
        <v>9517</v>
      </c>
      <c r="M57">
        <v>10.199999999999999</v>
      </c>
      <c r="N57" s="6">
        <v>125514</v>
      </c>
      <c r="O57" s="6">
        <v>428179</v>
      </c>
      <c r="P57" s="5">
        <f>AVERAGE((P56-P55),(P55-P54),(P54-P53),(P53-P52))+P56</f>
        <v>8213574075.25</v>
      </c>
      <c r="Q57" s="5">
        <f t="shared" ref="Q57:S57" si="0">AVERAGE((Q56-Q55),(Q55-Q54),(Q54-Q53),(Q53-Q52))+Q56</f>
        <v>342305</v>
      </c>
      <c r="R57" s="5">
        <f t="shared" si="0"/>
        <v>117250136216208.45</v>
      </c>
      <c r="S57" s="5">
        <f t="shared" si="0"/>
        <v>31278.695749999999</v>
      </c>
      <c r="T57" s="5">
        <f>AVERAGE((T56-T55),(T55-T54),(T54-T53),(T53-T52))+T56</f>
        <v>128.416</v>
      </c>
      <c r="U57">
        <v>115856</v>
      </c>
      <c r="V57" s="10">
        <v>125.30000000000001</v>
      </c>
      <c r="W57" s="17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BF27-51AC-1248-A9CD-5F32D1702DBC}">
  <dimension ref="A1:W57"/>
  <sheetViews>
    <sheetView topLeftCell="G1" workbookViewId="0">
      <selection activeCell="W1" sqref="W1:W57"/>
    </sheetView>
  </sheetViews>
  <sheetFormatPr defaultColWidth="11.19921875" defaultRowHeight="15.6" x14ac:dyDescent="0.3"/>
  <cols>
    <col min="4" max="4" width="12.69921875" bestFit="1" customWidth="1"/>
    <col min="5" max="5" width="11.19921875" bestFit="1" customWidth="1"/>
    <col min="7" max="7" width="11.19921875" bestFit="1" customWidth="1"/>
    <col min="15" max="16" width="11.19921875" bestFit="1" customWidth="1"/>
    <col min="21" max="21" width="11.19921875" bestFit="1" customWidth="1"/>
    <col min="22" max="22" width="11.19921875" style="9"/>
  </cols>
  <sheetData>
    <row r="1" spans="1:23" ht="62.4" x14ac:dyDescent="0.3">
      <c r="A1" t="s">
        <v>0</v>
      </c>
      <c r="B1" s="2" t="s">
        <v>10</v>
      </c>
      <c r="C1" s="2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21</v>
      </c>
      <c r="J1" t="s">
        <v>22</v>
      </c>
      <c r="K1" t="s">
        <v>8</v>
      </c>
      <c r="L1" t="s">
        <v>9</v>
      </c>
      <c r="M1" t="s">
        <v>15</v>
      </c>
      <c r="N1" s="7" t="s">
        <v>13</v>
      </c>
      <c r="O1" s="7" t="s">
        <v>14</v>
      </c>
      <c r="P1" t="s">
        <v>19</v>
      </c>
      <c r="Q1" t="s">
        <v>18</v>
      </c>
      <c r="R1" t="s">
        <v>17</v>
      </c>
      <c r="S1" t="s">
        <v>20</v>
      </c>
      <c r="T1" t="s">
        <v>16</v>
      </c>
      <c r="U1" t="s">
        <v>12</v>
      </c>
      <c r="V1" s="9" t="s">
        <v>23</v>
      </c>
      <c r="W1" s="12" t="s">
        <v>24</v>
      </c>
    </row>
    <row r="2" spans="1:23" x14ac:dyDescent="0.3">
      <c r="A2">
        <v>1970</v>
      </c>
      <c r="B2">
        <f>Soybeans!B2</f>
        <v>96.27996826171875</v>
      </c>
      <c r="C2">
        <f>Soybeans!C2</f>
        <v>75.531028747558594</v>
      </c>
      <c r="D2" s="8">
        <f>(Soybeans!D2*1000)*(36.7437)/1000000</f>
        <v>229.83184349999996</v>
      </c>
      <c r="E2">
        <f>(Soybeans!E2*1000)*(36.7437)/1000000</f>
        <v>1127.1129974999999</v>
      </c>
      <c r="F2">
        <f>(Soybeans!F2*1000)*(36.7437)/1000000</f>
        <v>0</v>
      </c>
      <c r="G2">
        <f>(Soybeans!G2*1000)*(36.7437)/1000000</f>
        <v>1356.944841</v>
      </c>
      <c r="H2">
        <f>(Soybeans!H2*1000)*(36.7437)/1000000</f>
        <v>433.79612220000001</v>
      </c>
      <c r="I2">
        <f>(Soybeans!I2*1000)*(36.7437)/1000000</f>
        <v>760.11692189999997</v>
      </c>
      <c r="J2">
        <f>(Soybeans!J2*1000)*(36.7437)/1000000</f>
        <v>64.264731299999994</v>
      </c>
      <c r="K2">
        <f>(Soybeans!K2*1000)*(36.7437)/1000000</f>
        <v>824.38165319999996</v>
      </c>
      <c r="L2">
        <f>(Soybeans!L2*1000)*(36.7437)/1000000</f>
        <v>98.767065599999995</v>
      </c>
      <c r="M2">
        <f>Soybeans!M2</f>
        <v>2.85</v>
      </c>
      <c r="N2">
        <f>(Soybeans!N2*1000)*(36.7437)/1000000</f>
        <v>124.70811779999998</v>
      </c>
      <c r="O2">
        <f>(Soybeans!O2*1000)*(36.7437)/1000000</f>
        <v>1548.1590558</v>
      </c>
      <c r="P2">
        <f>Soybeans!P2</f>
        <v>3680589045</v>
      </c>
      <c r="Q2">
        <f>Soybeans!Q2</f>
        <v>205089</v>
      </c>
      <c r="R2">
        <f>Soybeans!R2</f>
        <v>3004300000000</v>
      </c>
      <c r="S2">
        <f>Soybeans!S2</f>
        <v>1073.3109999999999</v>
      </c>
      <c r="T2">
        <f>Soybeans!T2</f>
        <v>19.765999999999998</v>
      </c>
      <c r="U2">
        <f>(Soybeans!U2*1000)*(36.7437)/1000000</f>
        <v>1258.1777753999997</v>
      </c>
      <c r="V2" s="11">
        <v>15</v>
      </c>
      <c r="W2" s="13">
        <v>306.10000000000002</v>
      </c>
    </row>
    <row r="3" spans="1:23" x14ac:dyDescent="0.3">
      <c r="A3">
        <v>1971</v>
      </c>
      <c r="B3">
        <f>Soybeans!B3</f>
        <v>91.949569702148438</v>
      </c>
      <c r="C3">
        <f>Soybeans!C3</f>
        <v>69.234031677246094</v>
      </c>
      <c r="D3" s="8">
        <f>(Soybeans!D3*1000)*(36.7437)/1000000</f>
        <v>98.767065599999995</v>
      </c>
      <c r="E3">
        <f>(Soybeans!E3*1000)*(36.7437)/1000000</f>
        <v>1176.1290933</v>
      </c>
      <c r="F3">
        <f>(Soybeans!F3*1000)*(36.7437)/1000000</f>
        <v>0</v>
      </c>
      <c r="G3">
        <f>(Soybeans!G3*1000)*(36.7437)/1000000</f>
        <v>1274.8961588999998</v>
      </c>
      <c r="H3">
        <f>(Soybeans!H3*1000)*(36.7437)/1000000</f>
        <v>416.82053279999997</v>
      </c>
      <c r="I3">
        <f>(Soybeans!I3*1000)*(36.7437)/1000000</f>
        <v>720.54395699999986</v>
      </c>
      <c r="J3">
        <f>(Soybeans!J3*1000)*(36.7437)/1000000</f>
        <v>65.587504499999994</v>
      </c>
      <c r="K3">
        <f>(Soybeans!K3*1000)*(36.7437)/1000000</f>
        <v>786.13146149999989</v>
      </c>
      <c r="L3">
        <f>(Soybeans!L3*1000)*(36.7437)/1000000</f>
        <v>71.944164599999993</v>
      </c>
      <c r="M3">
        <f>Soybeans!M3</f>
        <v>3.03</v>
      </c>
      <c r="N3">
        <f>(Soybeans!N3*1000)*(36.7437)/1000000</f>
        <v>95.754082199999985</v>
      </c>
      <c r="O3">
        <f>(Soybeans!O3*1000)*(36.7437)/1000000</f>
        <v>1596.0728405999998</v>
      </c>
      <c r="P3">
        <f>Soybeans!P3</f>
        <v>3758613546</v>
      </c>
      <c r="Q3">
        <f>Soybeans!Q3</f>
        <v>207692</v>
      </c>
      <c r="R3">
        <f>Soybeans!R3</f>
        <v>3319900000000</v>
      </c>
      <c r="S3">
        <f>Soybeans!S3</f>
        <v>1164.8499999999999</v>
      </c>
      <c r="T3">
        <f>Soybeans!T3</f>
        <v>20.605</v>
      </c>
      <c r="U3">
        <f>(Soybeans!U3*1000)*(36.7437)/1000000</f>
        <v>1202.9519943</v>
      </c>
      <c r="V3" s="11">
        <v>15.5</v>
      </c>
      <c r="W3" s="13">
        <v>289.39999999999998</v>
      </c>
    </row>
    <row r="4" spans="1:23" x14ac:dyDescent="0.3">
      <c r="A4">
        <v>1972</v>
      </c>
      <c r="B4">
        <f>Soybeans!B4</f>
        <v>85.741081237792969</v>
      </c>
      <c r="C4">
        <f>Soybeans!C4</f>
        <v>60.2574462890625</v>
      </c>
      <c r="D4" s="8">
        <f>(Soybeans!D4*1000)*(36.7437)/1000000</f>
        <v>71.944164599999993</v>
      </c>
      <c r="E4">
        <f>(Soybeans!E4*1000)*(36.7437)/1000000</f>
        <v>1270.6338896999998</v>
      </c>
      <c r="F4">
        <f>(Soybeans!F4*1000)*(36.7437)/1000000</f>
        <v>0</v>
      </c>
      <c r="G4">
        <f>(Soybeans!G4*1000)*(36.7437)/1000000</f>
        <v>1342.5780542999998</v>
      </c>
      <c r="H4">
        <f>(Soybeans!H4*1000)*(36.7437)/1000000</f>
        <v>479.43179759999998</v>
      </c>
      <c r="I4">
        <f>(Soybeans!I4*1000)*(36.7437)/1000000</f>
        <v>721.79324279999992</v>
      </c>
      <c r="J4">
        <f>(Soybeans!J4*1000)*(36.7437)/1000000</f>
        <v>81.717988800000001</v>
      </c>
      <c r="K4">
        <f>(Soybeans!K4*1000)*(36.7437)/1000000</f>
        <v>803.51123159999986</v>
      </c>
      <c r="L4">
        <f>(Soybeans!L4*1000)*(36.7437)/1000000</f>
        <v>59.635025099999993</v>
      </c>
      <c r="M4">
        <f>Soybeans!M4</f>
        <v>4.37</v>
      </c>
      <c r="N4">
        <f>(Soybeans!N4*1000)*(36.7437)/1000000</f>
        <v>91.785762599999998</v>
      </c>
      <c r="O4">
        <f>(Soybeans!O4*1000)*(36.7437)/1000000</f>
        <v>1613.2688921999998</v>
      </c>
      <c r="P4">
        <f>Soybeans!P4</f>
        <v>3834446322</v>
      </c>
      <c r="Q4">
        <f>Soybeans!Q4</f>
        <v>209924</v>
      </c>
      <c r="R4">
        <f>Soybeans!R4</f>
        <v>3834200000000</v>
      </c>
      <c r="S4">
        <f>Soybeans!S4</f>
        <v>1279.1120000000001</v>
      </c>
      <c r="T4">
        <f>Soybeans!T4</f>
        <v>21.308</v>
      </c>
      <c r="U4">
        <f>(Soybeans!U4*1000)*(36.7437)/1000000</f>
        <v>1282.9430291999997</v>
      </c>
      <c r="V4" s="11">
        <v>16.2</v>
      </c>
      <c r="W4" s="13">
        <v>269.7</v>
      </c>
    </row>
    <row r="5" spans="1:23" x14ac:dyDescent="0.3">
      <c r="A5">
        <v>1973</v>
      </c>
      <c r="B5">
        <f>Soybeans!B5</f>
        <v>81.385787963867188</v>
      </c>
      <c r="C5">
        <f>Soybeans!C5</f>
        <v>59.529338836669922</v>
      </c>
      <c r="D5" s="8">
        <f>(Soybeans!D5*1000)*(36.7437)/1000000</f>
        <v>59.635025099999993</v>
      </c>
      <c r="E5">
        <f>(Soybeans!E5*1000)*(36.7437)/1000000</f>
        <v>1547.5711566</v>
      </c>
      <c r="F5">
        <f>(Soybeans!F5*1000)*(36.7437)/1000000</f>
        <v>0</v>
      </c>
      <c r="G5">
        <f>(Soybeans!G5*1000)*(36.7437)/1000000</f>
        <v>1607.2061816999999</v>
      </c>
      <c r="H5">
        <f>(Soybeans!H5*1000)*(36.7437)/1000000</f>
        <v>539.14031009999985</v>
      </c>
      <c r="I5">
        <f>(Soybeans!I5*1000)*(36.7437)/1000000</f>
        <v>821.33192609999992</v>
      </c>
      <c r="J5">
        <f>(Soybeans!J5*1000)*(36.7437)/1000000</f>
        <v>75.985971599999999</v>
      </c>
      <c r="K5">
        <f>(Soybeans!K5*1000)*(36.7437)/1000000</f>
        <v>897.31789769999989</v>
      </c>
      <c r="L5">
        <f>(Soybeans!L5*1000)*(36.7437)/1000000</f>
        <v>170.74797389999998</v>
      </c>
      <c r="M5">
        <f>Soybeans!M5</f>
        <v>5.68</v>
      </c>
      <c r="N5">
        <f>(Soybeans!N5*1000)*(36.7437)/1000000</f>
        <v>201.90663149999997</v>
      </c>
      <c r="O5">
        <f>(Soybeans!O5*1000)*(36.7437)/1000000</f>
        <v>1984.4170058999998</v>
      </c>
      <c r="P5">
        <f>Soybeans!P5</f>
        <v>3911068458</v>
      </c>
      <c r="Q5">
        <f>Soybeans!Q5</f>
        <v>211939</v>
      </c>
      <c r="R5">
        <f>Soybeans!R5</f>
        <v>4688600000000</v>
      </c>
      <c r="S5">
        <f>Soybeans!S5</f>
        <v>1425.376</v>
      </c>
      <c r="T5">
        <f>Soybeans!T5</f>
        <v>22.456</v>
      </c>
      <c r="U5">
        <f>(Soybeans!U5*1000)*(36.7437)/1000000</f>
        <v>1436.4582077999999</v>
      </c>
      <c r="V5" s="11">
        <v>18.3</v>
      </c>
      <c r="W5" s="13">
        <v>412.1</v>
      </c>
    </row>
    <row r="6" spans="1:23" x14ac:dyDescent="0.3">
      <c r="A6">
        <v>1974</v>
      </c>
      <c r="B6">
        <f>Soybeans!B6</f>
        <v>81.354316711425781</v>
      </c>
      <c r="C6">
        <f>Soybeans!C6</f>
        <v>61.88629150390625</v>
      </c>
      <c r="D6" s="8">
        <f>(Soybeans!D6*1000)*(36.7437)/1000000</f>
        <v>170.74797389999998</v>
      </c>
      <c r="E6">
        <f>(Soybeans!E6*1000)*(36.7437)/1000000</f>
        <v>1216.2899573999998</v>
      </c>
      <c r="F6">
        <f>(Soybeans!F6*1000)*(36.7437)/1000000</f>
        <v>0</v>
      </c>
      <c r="G6">
        <f>(Soybeans!G6*1000)*(36.7437)/1000000</f>
        <v>1387.0379312999999</v>
      </c>
      <c r="H6">
        <f>(Soybeans!H6*1000)*(36.7437)/1000000</f>
        <v>420.71536499999996</v>
      </c>
      <c r="I6">
        <f>(Soybeans!I6*1000)*(36.7437)/1000000</f>
        <v>701.25351450000005</v>
      </c>
      <c r="J6">
        <f>(Soybeans!J6*1000)*(36.7437)/1000000</f>
        <v>76.904564099999988</v>
      </c>
      <c r="K6">
        <f>(Soybeans!K6*1000)*(36.7437)/1000000</f>
        <v>778.15807859999995</v>
      </c>
      <c r="L6">
        <f>(Soybeans!L6*1000)*(36.7437)/1000000</f>
        <v>188.1644877</v>
      </c>
      <c r="M6">
        <f>Soybeans!M6</f>
        <v>6.64</v>
      </c>
      <c r="N6">
        <f>(Soybeans!N6*1000)*(36.7437)/1000000</f>
        <v>223.6221582</v>
      </c>
      <c r="O6">
        <f>(Soybeans!O6*1000)*(36.7437)/1000000</f>
        <v>1625.8719813</v>
      </c>
      <c r="P6">
        <f>Soybeans!P6</f>
        <v>3987294240</v>
      </c>
      <c r="Q6">
        <f>Soybeans!Q6</f>
        <v>213898</v>
      </c>
      <c r="R6">
        <f>Soybeans!R6</f>
        <v>5419500000000</v>
      </c>
      <c r="S6">
        <f>Soybeans!S6</f>
        <v>1545.2429999999999</v>
      </c>
      <c r="T6">
        <f>Soybeans!T6</f>
        <v>24.792999999999999</v>
      </c>
      <c r="U6">
        <f>(Soybeans!U6*1000)*(36.7437)/1000000</f>
        <v>1198.8734436</v>
      </c>
      <c r="V6" s="11">
        <v>20.8</v>
      </c>
      <c r="W6" s="13">
        <v>639.4</v>
      </c>
    </row>
    <row r="7" spans="1:23" x14ac:dyDescent="0.3">
      <c r="A7">
        <v>1975</v>
      </c>
      <c r="B7">
        <f>Soybeans!B7</f>
        <v>82.211517333984375</v>
      </c>
      <c r="C7">
        <f>Soybeans!C7</f>
        <v>63.680122375488281</v>
      </c>
      <c r="D7" s="8">
        <f>(Soybeans!D7*1000)*(36.7437)/1000000</f>
        <v>188.1644877</v>
      </c>
      <c r="E7">
        <f>(Soybeans!E7*1000)*(36.7437)/1000000</f>
        <v>1548.3427743</v>
      </c>
      <c r="F7">
        <f>(Soybeans!F7*1000)*(36.7437)/1000000</f>
        <v>0</v>
      </c>
      <c r="G7">
        <f>(Soybeans!G7*1000)*(36.7437)/1000000</f>
        <v>1736.5072619999999</v>
      </c>
      <c r="H7">
        <f>(Soybeans!H7*1000)*(36.7437)/1000000</f>
        <v>555.08707589999995</v>
      </c>
      <c r="I7">
        <f>(Soybeans!I7*1000)*(36.7437)/1000000</f>
        <v>865.13041649999991</v>
      </c>
      <c r="J7">
        <f>(Soybeans!J7*1000)*(36.7437)/1000000</f>
        <v>71.356265399999998</v>
      </c>
      <c r="K7">
        <f>(Soybeans!K7*1000)*(36.7437)/1000000</f>
        <v>936.48668190000001</v>
      </c>
      <c r="L7">
        <f>(Soybeans!L7*1000)*(36.7437)/1000000</f>
        <v>244.93350419999999</v>
      </c>
      <c r="M7">
        <f>Soybeans!M7</f>
        <v>4.92</v>
      </c>
      <c r="N7">
        <f>(Soybeans!N7*1000)*(36.7437)/1000000</f>
        <v>305.04619739999998</v>
      </c>
      <c r="O7">
        <f>(Soybeans!O7*1000)*(36.7437)/1000000</f>
        <v>1970.6748620999999</v>
      </c>
      <c r="P7">
        <f>Soybeans!P7</f>
        <v>4062070771</v>
      </c>
      <c r="Q7">
        <f>Soybeans!Q7</f>
        <v>215981</v>
      </c>
      <c r="R7">
        <f>Soybeans!R7</f>
        <v>6035100000000</v>
      </c>
      <c r="S7">
        <f>Soybeans!S7</f>
        <v>1684.905</v>
      </c>
      <c r="T7">
        <f>Soybeans!T7</f>
        <v>26.86</v>
      </c>
      <c r="U7">
        <f>(Soybeans!U7*1000)*(36.7437)/1000000</f>
        <v>1491.5737577999998</v>
      </c>
      <c r="V7" s="11">
        <v>22.6</v>
      </c>
      <c r="W7" s="13">
        <v>448.5</v>
      </c>
    </row>
    <row r="8" spans="1:23" x14ac:dyDescent="0.3">
      <c r="A8">
        <v>1976</v>
      </c>
      <c r="B8">
        <f>Soybeans!B8</f>
        <v>82.846267700195313</v>
      </c>
      <c r="C8">
        <f>Soybeans!C8</f>
        <v>62.98223876953125</v>
      </c>
      <c r="D8" s="8">
        <f>(Soybeans!D8*1000)*(36.7437)/1000000</f>
        <v>244.93350419999999</v>
      </c>
      <c r="E8">
        <f>(Soybeans!E8*1000)*(36.7437)/1000000</f>
        <v>1288.601559</v>
      </c>
      <c r="F8">
        <f>(Soybeans!F8*1000)*(36.7437)/1000000</f>
        <v>0</v>
      </c>
      <c r="G8">
        <f>(Soybeans!G8*1000)*(36.7437)/1000000</f>
        <v>1533.5350631999997</v>
      </c>
      <c r="H8">
        <f>(Soybeans!H8*1000)*(36.7437)/1000000</f>
        <v>564.0525386999999</v>
      </c>
      <c r="I8">
        <f>(Soybeans!I8*1000)*(36.7437)/1000000</f>
        <v>790.21001219999994</v>
      </c>
      <c r="J8">
        <f>(Soybeans!J8*1000)*(36.7437)/1000000</f>
        <v>76.353408599999995</v>
      </c>
      <c r="K8">
        <f>(Soybeans!K8*1000)*(36.7437)/1000000</f>
        <v>866.5634207999999</v>
      </c>
      <c r="L8">
        <f>(Soybeans!L8*1000)*(36.7437)/1000000</f>
        <v>102.91910369999999</v>
      </c>
      <c r="M8">
        <f>Soybeans!M8</f>
        <v>6.81</v>
      </c>
      <c r="N8">
        <f>(Soybeans!N8*1000)*(36.7437)/1000000</f>
        <v>135.51076559999998</v>
      </c>
      <c r="O8">
        <f>(Soybeans!O8*1000)*(36.7437)/1000000</f>
        <v>1670.5523204999997</v>
      </c>
      <c r="P8">
        <f>Soybeans!P8</f>
        <v>4135758539</v>
      </c>
      <c r="Q8">
        <f>Soybeans!Q8</f>
        <v>218086</v>
      </c>
      <c r="R8">
        <f>Soybeans!R8</f>
        <v>6560200000000</v>
      </c>
      <c r="S8">
        <f>Soybeans!S8</f>
        <v>1873.413</v>
      </c>
      <c r="T8">
        <f>Soybeans!T8</f>
        <v>28.332999999999998</v>
      </c>
      <c r="U8">
        <f>(Soybeans!U8*1000)*(36.7437)/1000000</f>
        <v>1430.6159594999997</v>
      </c>
      <c r="V8" s="11">
        <v>23.3</v>
      </c>
      <c r="W8" s="13">
        <v>319.7</v>
      </c>
    </row>
    <row r="9" spans="1:23" x14ac:dyDescent="0.3">
      <c r="A9">
        <v>1977</v>
      </c>
      <c r="B9">
        <f>Soybeans!B9</f>
        <v>76.637420654296875</v>
      </c>
      <c r="C9">
        <f>Soybeans!C9</f>
        <v>58.508747100830078</v>
      </c>
      <c r="D9" s="8">
        <f>(Soybeans!D9*1000)*(36.7437)/1000000</f>
        <v>102.91910369999999</v>
      </c>
      <c r="E9">
        <f>(Soybeans!E9*1000)*(36.7437)/1000000</f>
        <v>1767.2617389</v>
      </c>
      <c r="F9">
        <f>(Soybeans!F9*1000)*(36.7437)/1000000</f>
        <v>0</v>
      </c>
      <c r="G9">
        <f>(Soybeans!G9*1000)*(36.7437)/1000000</f>
        <v>1870.1808426</v>
      </c>
      <c r="H9">
        <f>(Soybeans!H9*1000)*(36.7437)/1000000</f>
        <v>700.37166569999988</v>
      </c>
      <c r="I9">
        <f>(Soybeans!I9*1000)*(36.7437)/1000000</f>
        <v>926.67611399999987</v>
      </c>
      <c r="J9">
        <f>(Soybeans!J9*1000)*(36.7437)/1000000</f>
        <v>81.975194699999989</v>
      </c>
      <c r="K9">
        <f>(Soybeans!K9*1000)*(36.7437)/1000000</f>
        <v>1008.6513087</v>
      </c>
      <c r="L9">
        <f>(Soybeans!L9*1000)*(36.7437)/1000000</f>
        <v>161.1578682</v>
      </c>
      <c r="M9">
        <f>Soybeans!M9</f>
        <v>5.88</v>
      </c>
      <c r="N9">
        <f>(Soybeans!N9*1000)*(36.7437)/1000000</f>
        <v>372.14019359999998</v>
      </c>
      <c r="O9">
        <f>(Soybeans!O9*1000)*(36.7437)/1000000</f>
        <v>2651.0946986999998</v>
      </c>
      <c r="P9">
        <f>Soybeans!P9</f>
        <v>4208958804</v>
      </c>
      <c r="Q9">
        <f>Soybeans!Q9</f>
        <v>220289</v>
      </c>
      <c r="R9">
        <f>Soybeans!R9</f>
        <v>7416400000000</v>
      </c>
      <c r="S9">
        <f>Soybeans!S9</f>
        <v>2081.8249999999998</v>
      </c>
      <c r="T9">
        <f>Soybeans!T9</f>
        <v>30.175999999999998</v>
      </c>
      <c r="U9">
        <f>(Soybeans!U9*1000)*(36.7437)/1000000</f>
        <v>1709.0229743999998</v>
      </c>
      <c r="V9" s="11">
        <v>24.7</v>
      </c>
      <c r="W9" s="13">
        <v>398.5</v>
      </c>
    </row>
    <row r="10" spans="1:23" x14ac:dyDescent="0.3">
      <c r="A10">
        <v>1978</v>
      </c>
      <c r="B10">
        <f>Soybeans!B10</f>
        <v>79.017974853515625</v>
      </c>
      <c r="C10">
        <f>Soybeans!C10</f>
        <v>58.037460327148438</v>
      </c>
      <c r="D10" s="8">
        <f>(Soybeans!D10*1000)*(36.7437)/1000000</f>
        <v>161.1578682</v>
      </c>
      <c r="E10">
        <f>(Soybeans!E10*1000)*(36.7437)/1000000</f>
        <v>1868.7478383</v>
      </c>
      <c r="F10">
        <f>(Soybeans!F10*1000)*(36.7437)/1000000</f>
        <v>0</v>
      </c>
      <c r="G10">
        <f>(Soybeans!G10*1000)*(36.7437)/1000000</f>
        <v>2029.9057064999997</v>
      </c>
      <c r="H10">
        <f>(Soybeans!H10*1000)*(36.7437)/1000000</f>
        <v>739.1730129</v>
      </c>
      <c r="I10">
        <f>(Soybeans!I10*1000)*(36.7437)/1000000</f>
        <v>1017.8372337</v>
      </c>
      <c r="J10">
        <f>(Soybeans!J10*1000)*(36.7437)/1000000</f>
        <v>97.2973176</v>
      </c>
      <c r="K10">
        <f>(Soybeans!K10*1000)*(36.7437)/1000000</f>
        <v>1115.1345512999999</v>
      </c>
      <c r="L10">
        <f>(Soybeans!L10*1000)*(36.7437)/1000000</f>
        <v>175.59814229999998</v>
      </c>
      <c r="M10">
        <f>Soybeans!M10</f>
        <v>6.66</v>
      </c>
      <c r="N10">
        <f>(Soybeans!N10*1000)*(36.7437)/1000000</f>
        <v>364.20355439999997</v>
      </c>
      <c r="O10">
        <f>(Soybeans!O10*1000)*(36.7437)/1000000</f>
        <v>2844.2563295999998</v>
      </c>
      <c r="P10">
        <f>Soybeans!P10</f>
        <v>4283431043</v>
      </c>
      <c r="Q10">
        <f>Soybeans!Q10</f>
        <v>222629</v>
      </c>
      <c r="R10">
        <f>Soybeans!R10</f>
        <v>8779700000000</v>
      </c>
      <c r="S10">
        <f>Soybeans!S10</f>
        <v>2351.5990000000002</v>
      </c>
      <c r="T10">
        <f>Soybeans!T10</f>
        <v>32.276000000000003</v>
      </c>
      <c r="U10">
        <f>(Soybeans!U10*1000)*(36.7437)/1000000</f>
        <v>1854.3075641999999</v>
      </c>
      <c r="V10" s="11">
        <v>27.1</v>
      </c>
      <c r="W10" s="13">
        <v>442.4</v>
      </c>
    </row>
    <row r="11" spans="1:23" x14ac:dyDescent="0.3">
      <c r="A11">
        <v>1979</v>
      </c>
      <c r="B11">
        <f>Soybeans!B11</f>
        <v>79.596054077148438</v>
      </c>
      <c r="C11">
        <f>Soybeans!C11</f>
        <v>58.580295562744141</v>
      </c>
      <c r="D11" s="8">
        <f>(Soybeans!D11*1000)*(36.7437)/1000000</f>
        <v>175.59814229999998</v>
      </c>
      <c r="E11">
        <f>(Soybeans!E11*1000)*(36.7437)/1000000</f>
        <v>2260.6561425</v>
      </c>
      <c r="F11">
        <f>(Soybeans!F11*1000)*(36.7437)/1000000</f>
        <v>0</v>
      </c>
      <c r="G11">
        <f>(Soybeans!G11*1000)*(36.7437)/1000000</f>
        <v>2436.2542847999998</v>
      </c>
      <c r="H11">
        <f>(Soybeans!H11*1000)*(36.7437)/1000000</f>
        <v>875.16144659999986</v>
      </c>
      <c r="I11">
        <f>(Soybeans!I11*1000)*(36.7437)/1000000</f>
        <v>1123.3651401</v>
      </c>
      <c r="J11">
        <f>(Soybeans!J11*1000)*(36.7437)/1000000</f>
        <v>79.256160899999998</v>
      </c>
      <c r="K11">
        <f>(Soybeans!K11*1000)*(36.7437)/1000000</f>
        <v>1202.6213009999999</v>
      </c>
      <c r="L11">
        <f>(Soybeans!L11*1000)*(36.7437)/1000000</f>
        <v>358.4715372</v>
      </c>
      <c r="M11">
        <f>Soybeans!M11</f>
        <v>6.29</v>
      </c>
      <c r="N11">
        <f>(Soybeans!N11*1000)*(36.7437)/1000000</f>
        <v>685.78441679999992</v>
      </c>
      <c r="O11">
        <f>(Soybeans!O11*1000)*(36.7437)/1000000</f>
        <v>3431.4573992999999</v>
      </c>
      <c r="P11">
        <f>Soybeans!P11</f>
        <v>4360056401</v>
      </c>
      <c r="Q11">
        <f>Soybeans!Q11</f>
        <v>225106</v>
      </c>
      <c r="R11">
        <f>Soybeans!R11</f>
        <v>10155462903237.9</v>
      </c>
      <c r="S11">
        <f>Soybeans!S11</f>
        <v>2627.326</v>
      </c>
      <c r="T11">
        <f>Soybeans!T11</f>
        <v>35.143000000000001</v>
      </c>
      <c r="U11">
        <f>(Soybeans!U11*1000)*(36.7437)/1000000</f>
        <v>2077.7827475999998</v>
      </c>
      <c r="V11" s="11">
        <v>30</v>
      </c>
      <c r="W11" s="13">
        <v>519.70000000000005</v>
      </c>
    </row>
    <row r="12" spans="1:23" x14ac:dyDescent="0.3">
      <c r="A12">
        <v>1980</v>
      </c>
      <c r="B12">
        <f>Soybeans!B12</f>
        <v>80.412803649902344</v>
      </c>
      <c r="C12">
        <f>Soybeans!C12</f>
        <v>64.821983337402344</v>
      </c>
      <c r="D12" s="8">
        <f>(Soybeans!D12*1000)*(36.7437)/1000000</f>
        <v>358.4715372</v>
      </c>
      <c r="E12">
        <f>(Soybeans!E12*1000)*(36.7437)/1000000</f>
        <v>1797.5385476999998</v>
      </c>
      <c r="F12">
        <f>(Soybeans!F12*1000)*(36.7437)/1000000</f>
        <v>0</v>
      </c>
      <c r="G12">
        <f>(Soybeans!G12*1000)*(36.7437)/1000000</f>
        <v>2156.0100848999996</v>
      </c>
      <c r="H12">
        <f>(Soybeans!H12*1000)*(36.7437)/1000000</f>
        <v>724.29181440000002</v>
      </c>
      <c r="I12">
        <f>(Soybeans!I12*1000)*(36.7437)/1000000</f>
        <v>1020.4827800999999</v>
      </c>
      <c r="J12">
        <f>(Soybeans!J12*1000)*(36.7437)/1000000</f>
        <v>98.215910099999988</v>
      </c>
      <c r="K12">
        <f>(Soybeans!K12*1000)*(36.7437)/1000000</f>
        <v>1118.6986901999999</v>
      </c>
      <c r="L12">
        <f>(Soybeans!L12*1000)*(36.7437)/1000000</f>
        <v>313.01958029999997</v>
      </c>
      <c r="M12">
        <f>Soybeans!M12</f>
        <v>7.6</v>
      </c>
      <c r="N12">
        <f>(Soybeans!N12*1000)*(36.7437)/1000000</f>
        <v>607.92451649999998</v>
      </c>
      <c r="O12">
        <f>(Soybeans!O12*1000)*(36.7437)/1000000</f>
        <v>2973.5941536</v>
      </c>
      <c r="P12">
        <f>Soybeans!P12</f>
        <v>4437602892</v>
      </c>
      <c r="Q12">
        <f>Soybeans!Q12</f>
        <v>227726</v>
      </c>
      <c r="R12">
        <f>Soybeans!R12</f>
        <v>11452768541637.6</v>
      </c>
      <c r="S12">
        <f>Soybeans!S12</f>
        <v>2857.3090000000002</v>
      </c>
      <c r="T12">
        <f>Soybeans!T12</f>
        <v>38.927999999999997</v>
      </c>
      <c r="U12">
        <f>(Soybeans!U12*1000)*(36.7437)/1000000</f>
        <v>1842.9905045999999</v>
      </c>
      <c r="V12" s="11">
        <v>32.5</v>
      </c>
      <c r="W12" s="13">
        <v>584.79999999999995</v>
      </c>
    </row>
    <row r="13" spans="1:23" x14ac:dyDescent="0.3">
      <c r="A13">
        <v>1981</v>
      </c>
      <c r="B13">
        <f>Soybeans!B13</f>
        <v>93.981346130371094</v>
      </c>
      <c r="C13">
        <f>Soybeans!C13</f>
        <v>79.986968994140625</v>
      </c>
      <c r="D13" s="8">
        <f>(Soybeans!D13*1000)*(36.7437)/1000000</f>
        <v>313.01958029999997</v>
      </c>
      <c r="E13">
        <f>(Soybeans!E13*1000)*(36.7437)/1000000</f>
        <v>1989.1201994999997</v>
      </c>
      <c r="F13">
        <f>(Soybeans!F13*1000)*(36.7437)/1000000</f>
        <v>0</v>
      </c>
      <c r="G13">
        <f>(Soybeans!G13*1000)*(36.7437)/1000000</f>
        <v>2302.1397797999998</v>
      </c>
      <c r="H13">
        <f>(Soybeans!H13*1000)*(36.7437)/1000000</f>
        <v>929.0644544999999</v>
      </c>
      <c r="I13">
        <f>(Soybeans!I13*1000)*(36.7437)/1000000</f>
        <v>1029.9993983999998</v>
      </c>
      <c r="J13">
        <f>(Soybeans!J13*1000)*(36.7437)/1000000</f>
        <v>88.58906069999999</v>
      </c>
      <c r="K13">
        <f>(Soybeans!K13*1000)*(36.7437)/1000000</f>
        <v>1118.5884590999999</v>
      </c>
      <c r="L13">
        <f>(Soybeans!L13*1000)*(36.7437)/1000000</f>
        <v>254.48686619999998</v>
      </c>
      <c r="M13">
        <f>Soybeans!M13</f>
        <v>6.07</v>
      </c>
      <c r="N13">
        <f>(Soybeans!N13*1000)*(36.7437)/1000000</f>
        <v>554.94010109999988</v>
      </c>
      <c r="O13">
        <f>(Soybeans!O13*1000)*(36.7437)/1000000</f>
        <v>3163.0079271</v>
      </c>
      <c r="P13">
        <f>Soybeans!P13</f>
        <v>4516926190</v>
      </c>
      <c r="Q13">
        <f>Soybeans!Q13</f>
        <v>230008</v>
      </c>
      <c r="R13">
        <f>Soybeans!R13</f>
        <v>11843441094928.699</v>
      </c>
      <c r="S13">
        <f>Soybeans!S13</f>
        <v>3207.0410000000002</v>
      </c>
      <c r="T13">
        <f>Soybeans!T13</f>
        <v>42.414999999999999</v>
      </c>
      <c r="U13">
        <f>(Soybeans!U13*1000)*(36.7437)/1000000</f>
        <v>2047.6529135999999</v>
      </c>
      <c r="V13" s="11">
        <v>35.1</v>
      </c>
      <c r="W13" s="13">
        <v>515.20000000000005</v>
      </c>
    </row>
    <row r="14" spans="1:23" x14ac:dyDescent="0.3">
      <c r="A14">
        <v>1982</v>
      </c>
      <c r="B14">
        <f>Soybeans!B14</f>
        <v>99.1051025390625</v>
      </c>
      <c r="C14">
        <f>Soybeans!C14</f>
        <v>89.91021728515625</v>
      </c>
      <c r="D14" s="8">
        <f>(Soybeans!D14*1000)*(36.7437)/1000000</f>
        <v>254.48686619999998</v>
      </c>
      <c r="E14">
        <f>(Soybeans!E14*1000)*(36.7437)/1000000</f>
        <v>2190.2919569999999</v>
      </c>
      <c r="F14">
        <f>(Soybeans!F14*1000)*(36.7437)/1000000</f>
        <v>0</v>
      </c>
      <c r="G14">
        <f>(Soybeans!G14*1000)*(36.7437)/1000000</f>
        <v>2444.7788231999998</v>
      </c>
      <c r="H14">
        <f>(Soybeans!H14*1000)*(36.7437)/1000000</f>
        <v>905.14430579999998</v>
      </c>
      <c r="I14">
        <f>(Soybeans!I14*1000)*(36.7437)/1000000</f>
        <v>1108.0062734999999</v>
      </c>
      <c r="J14">
        <f>(Soybeans!J14*1000)*(36.7437)/1000000</f>
        <v>87.009081599999988</v>
      </c>
      <c r="K14">
        <f>(Soybeans!K14*1000)*(36.7437)/1000000</f>
        <v>1195.0153550999999</v>
      </c>
      <c r="L14">
        <f>(Soybeans!L14*1000)*(36.7437)/1000000</f>
        <v>344.61916229999997</v>
      </c>
      <c r="M14">
        <f>Soybeans!M14</f>
        <v>5.71</v>
      </c>
      <c r="N14">
        <f>(Soybeans!N14*1000)*(36.7437)/1000000</f>
        <v>637.42970759999992</v>
      </c>
      <c r="O14">
        <f>(Soybeans!O14*1000)*(36.7437)/1000000</f>
        <v>3433.9927146</v>
      </c>
      <c r="P14">
        <f>Soybeans!P14</f>
        <v>4599539241</v>
      </c>
      <c r="Q14">
        <f>Soybeans!Q14</f>
        <v>232218</v>
      </c>
      <c r="R14">
        <f>Soybeans!R14</f>
        <v>11719276657617.9</v>
      </c>
      <c r="S14">
        <f>Soybeans!S14</f>
        <v>3343.7890000000002</v>
      </c>
      <c r="T14">
        <f>Soybeans!T14</f>
        <v>44.771000000000001</v>
      </c>
      <c r="U14">
        <f>(Soybeans!U14*1000)*(36.7437)/1000000</f>
        <v>2100.1596608999998</v>
      </c>
      <c r="V14" s="11">
        <v>36.5</v>
      </c>
      <c r="W14" s="13">
        <v>316.7</v>
      </c>
    </row>
    <row r="15" spans="1:23" x14ac:dyDescent="0.3">
      <c r="A15">
        <v>1983</v>
      </c>
      <c r="B15">
        <f>Soybeans!B15</f>
        <v>100.80005645751953</v>
      </c>
      <c r="C15">
        <f>Soybeans!C15</f>
        <v>99.970367431640625</v>
      </c>
      <c r="D15" s="8">
        <f>(Soybeans!D15*1000)*(36.7437)/1000000</f>
        <v>344.61916229999997</v>
      </c>
      <c r="E15">
        <f>(Soybeans!E15*1000)*(36.7437)/1000000</f>
        <v>1635.7560366</v>
      </c>
      <c r="F15">
        <f>(Soybeans!F15*1000)*(36.7437)/1000000</f>
        <v>0</v>
      </c>
      <c r="G15">
        <f>(Soybeans!G15*1000)*(36.7437)/1000000</f>
        <v>1980.3751988999998</v>
      </c>
      <c r="H15">
        <f>(Soybeans!H15*1000)*(36.7437)/1000000</f>
        <v>742.99435769999991</v>
      </c>
      <c r="I15">
        <f>(Soybeans!I15*1000)*(36.7437)/1000000</f>
        <v>983.00420609999992</v>
      </c>
      <c r="J15">
        <f>(Soybeans!J15*1000)*(36.7437)/1000000</f>
        <v>78.447799500000002</v>
      </c>
      <c r="K15">
        <f>(Soybeans!K15*1000)*(36.7437)/1000000</f>
        <v>1061.4520055999999</v>
      </c>
      <c r="L15">
        <f>(Soybeans!L15*1000)*(36.7437)/1000000</f>
        <v>175.92883559999999</v>
      </c>
      <c r="M15">
        <f>Soybeans!M15</f>
        <v>7.83</v>
      </c>
      <c r="N15">
        <f>(Soybeans!N15*1000)*(36.7437)/1000000</f>
        <v>504.05007659999995</v>
      </c>
      <c r="O15">
        <f>(Soybeans!O15*1000)*(36.7437)/1000000</f>
        <v>3053.9893691999996</v>
      </c>
      <c r="P15">
        <f>Soybeans!P15</f>
        <v>4682924536</v>
      </c>
      <c r="Q15">
        <f>Soybeans!Q15</f>
        <v>234333</v>
      </c>
      <c r="R15">
        <f>Soybeans!R15</f>
        <v>11962974794875.199</v>
      </c>
      <c r="S15">
        <f>Soybeans!S15</f>
        <v>3634.0369999999998</v>
      </c>
      <c r="T15">
        <f>Soybeans!T15</f>
        <v>46.676000000000002</v>
      </c>
      <c r="U15">
        <f>(Soybeans!U15*1000)*(36.7437)/1000000</f>
        <v>1804.4463633</v>
      </c>
      <c r="V15" s="11">
        <v>37.299999999999997</v>
      </c>
      <c r="W15" s="13">
        <v>204.5</v>
      </c>
    </row>
    <row r="16" spans="1:23" x14ac:dyDescent="0.3">
      <c r="A16">
        <v>1984</v>
      </c>
      <c r="B16">
        <f>Soybeans!B16</f>
        <v>102.09542846679688</v>
      </c>
      <c r="C16">
        <f>Soybeans!C16</f>
        <v>102.4085693359375</v>
      </c>
      <c r="D16" s="8">
        <f>(Soybeans!D16*1000)*(36.7437)/1000000</f>
        <v>175.92883559999999</v>
      </c>
      <c r="E16">
        <f>(Soybeans!E16*1000)*(36.7437)/1000000</f>
        <v>1860.8479428000001</v>
      </c>
      <c r="F16">
        <f>(Soybeans!F16*1000)*(36.7437)/1000000</f>
        <v>0</v>
      </c>
      <c r="G16">
        <f>(Soybeans!G16*1000)*(36.7437)/1000000</f>
        <v>2036.7767783999998</v>
      </c>
      <c r="H16">
        <f>(Soybeans!H16*1000)*(36.7437)/1000000</f>
        <v>597.6362805</v>
      </c>
      <c r="I16">
        <f>(Soybeans!I16*1000)*(36.7437)/1000000</f>
        <v>1030.4770664999999</v>
      </c>
      <c r="J16">
        <f>(Soybeans!J16*1000)*(36.7437)/1000000</f>
        <v>92.961560999999989</v>
      </c>
      <c r="K16">
        <f>(Soybeans!K16*1000)*(36.7437)/1000000</f>
        <v>1123.4386274999999</v>
      </c>
      <c r="L16">
        <f>(Soybeans!L16*1000)*(36.7437)/1000000</f>
        <v>315.70187039999996</v>
      </c>
      <c r="M16">
        <f>Soybeans!M16</f>
        <v>5.84</v>
      </c>
      <c r="N16">
        <f>(Soybeans!N16*1000)*(36.7437)/1000000</f>
        <v>660.28428899999994</v>
      </c>
      <c r="O16">
        <f>(Soybeans!O16*1000)*(36.7437)/1000000</f>
        <v>3419.9198774999995</v>
      </c>
      <c r="P16">
        <f>Soybeans!P16</f>
        <v>4766040300</v>
      </c>
      <c r="Q16">
        <f>Soybeans!Q16</f>
        <v>236394</v>
      </c>
      <c r="R16">
        <f>Soybeans!R16</f>
        <v>12427957579028</v>
      </c>
      <c r="S16">
        <f>Soybeans!S16</f>
        <v>4037.614</v>
      </c>
      <c r="T16">
        <f>Soybeans!T16</f>
        <v>48.439</v>
      </c>
      <c r="U16">
        <f>(Soybeans!U16*1000)*(36.7437)/1000000</f>
        <v>1721.0749079999998</v>
      </c>
      <c r="V16" s="11">
        <v>38.700000000000003</v>
      </c>
      <c r="W16" s="13">
        <v>215.2</v>
      </c>
    </row>
    <row r="17" spans="1:23" x14ac:dyDescent="0.3">
      <c r="A17">
        <v>1985</v>
      </c>
      <c r="B17">
        <f>Soybeans!B17</f>
        <v>98.704330444335938</v>
      </c>
      <c r="C17">
        <f>Soybeans!C17</f>
        <v>88.385055541992188</v>
      </c>
      <c r="D17" s="8">
        <f>(Soybeans!D17*1000)*(36.7437)/1000000</f>
        <v>315.70187039999996</v>
      </c>
      <c r="E17">
        <f>(Soybeans!E17*1000)*(36.7437)/1000000</f>
        <v>2099.0573498999997</v>
      </c>
      <c r="F17">
        <f>(Soybeans!F17*1000)*(36.7437)/1000000</f>
        <v>0</v>
      </c>
      <c r="G17">
        <f>(Soybeans!G17*1000)*(36.7437)/1000000</f>
        <v>2414.7592202999999</v>
      </c>
      <c r="H17">
        <f>(Soybeans!H17*1000)*(36.7437)/1000000</f>
        <v>740.67950459999986</v>
      </c>
      <c r="I17">
        <f>(Soybeans!I17*1000)*(36.7437)/1000000</f>
        <v>1053.0009545999999</v>
      </c>
      <c r="J17">
        <f>(Soybeans!J17*1000)*(36.7437)/1000000</f>
        <v>85.355615099999994</v>
      </c>
      <c r="K17">
        <f>(Soybeans!K17*1000)*(36.7437)/1000000</f>
        <v>1138.3565696999999</v>
      </c>
      <c r="L17">
        <f>(Soybeans!L17*1000)*(36.7437)/1000000</f>
        <v>535.72314599999993</v>
      </c>
      <c r="M17">
        <f>Soybeans!M17</f>
        <v>5.05</v>
      </c>
      <c r="N17">
        <f>(Soybeans!N17*1000)*(36.7437)/1000000</f>
        <v>867.22480740000003</v>
      </c>
      <c r="O17">
        <f>(Soybeans!O17*1000)*(36.7437)/1000000</f>
        <v>3564.3593621999999</v>
      </c>
      <c r="P17">
        <f>Soybeans!P17</f>
        <v>4850740788</v>
      </c>
      <c r="Q17">
        <f>Soybeans!Q17</f>
        <v>238506</v>
      </c>
      <c r="R17">
        <f>Soybeans!R17</f>
        <v>13016982447733.199</v>
      </c>
      <c r="S17">
        <f>Soybeans!S17</f>
        <v>4338.9809999999998</v>
      </c>
      <c r="T17">
        <f>Soybeans!T17</f>
        <v>50.128</v>
      </c>
      <c r="U17">
        <f>(Soybeans!U17*1000)*(36.7437)/1000000</f>
        <v>1879.0360742999999</v>
      </c>
      <c r="V17" s="11">
        <v>39.6</v>
      </c>
      <c r="W17" s="13">
        <v>171.2</v>
      </c>
    </row>
    <row r="18" spans="1:23" x14ac:dyDescent="0.3">
      <c r="A18">
        <v>1986</v>
      </c>
      <c r="B18">
        <f>Soybeans!B18</f>
        <v>96.204750061035156</v>
      </c>
      <c r="C18">
        <f>Soybeans!C18</f>
        <v>81.497161865234375</v>
      </c>
      <c r="D18" s="8">
        <f>(Soybeans!D18*1000)*(36.7437)/1000000</f>
        <v>535.72314599999993</v>
      </c>
      <c r="E18">
        <f>(Soybeans!E18*1000)*(36.7437)/1000000</f>
        <v>1942.5659315999999</v>
      </c>
      <c r="F18">
        <f>(Soybeans!F18*1000)*(36.7437)/1000000</f>
        <v>0</v>
      </c>
      <c r="G18">
        <f>(Soybeans!G18*1000)*(36.7437)/1000000</f>
        <v>2478.2890775999999</v>
      </c>
      <c r="H18">
        <f>(Soybeans!H18*1000)*(36.7437)/1000000</f>
        <v>756.92021999999986</v>
      </c>
      <c r="I18">
        <f>(Soybeans!I18*1000)*(36.7437)/1000000</f>
        <v>1178.9951018999998</v>
      </c>
      <c r="J18">
        <f>(Soybeans!J18*1000)*(36.7437)/1000000</f>
        <v>106.00557449999998</v>
      </c>
      <c r="K18">
        <f>(Soybeans!K18*1000)*(36.7437)/1000000</f>
        <v>1285.0006763999997</v>
      </c>
      <c r="L18">
        <f>(Soybeans!L18*1000)*(36.7437)/1000000</f>
        <v>436.36818119999998</v>
      </c>
      <c r="M18">
        <f>Soybeans!M18</f>
        <v>4.78</v>
      </c>
      <c r="N18">
        <f>(Soybeans!N18*1000)*(36.7437)/1000000</f>
        <v>736.78467239999998</v>
      </c>
      <c r="O18">
        <f>(Soybeans!O18*1000)*(36.7437)/1000000</f>
        <v>3601.6909613999997</v>
      </c>
      <c r="P18">
        <f>Soybeans!P18</f>
        <v>4937711562</v>
      </c>
      <c r="Q18">
        <f>Soybeans!Q18</f>
        <v>240683</v>
      </c>
      <c r="R18">
        <f>Soybeans!R18</f>
        <v>15348439146362.6</v>
      </c>
      <c r="S18">
        <f>Soybeans!S18</f>
        <v>4579.6329999999998</v>
      </c>
      <c r="T18">
        <f>Soybeans!T18</f>
        <v>51.219000000000001</v>
      </c>
      <c r="U18">
        <f>(Soybeans!U18*1000)*(36.7437)/1000000</f>
        <v>2041.9208963999999</v>
      </c>
      <c r="V18" s="11">
        <v>40.9</v>
      </c>
      <c r="W18" s="13">
        <v>110.6</v>
      </c>
    </row>
    <row r="19" spans="1:23" x14ac:dyDescent="0.3">
      <c r="A19">
        <v>1987</v>
      </c>
      <c r="B19">
        <f>Soybeans!B19</f>
        <v>86.343116760253906</v>
      </c>
      <c r="C19">
        <f>Soybeans!C19</f>
        <v>79.408096313476563</v>
      </c>
      <c r="D19" s="8">
        <f>(Soybeans!D19*1000)*(36.7437)/1000000</f>
        <v>436.36818119999998</v>
      </c>
      <c r="E19">
        <f>(Soybeans!E19*1000)*(36.7437)/1000000</f>
        <v>1937.7157631999999</v>
      </c>
      <c r="F19">
        <f>(Soybeans!F19*1000)*(36.7437)/1000000</f>
        <v>1.2492857999999998</v>
      </c>
      <c r="G19">
        <f>(Soybeans!G19*1000)*(36.7437)/1000000</f>
        <v>2375.3332301999999</v>
      </c>
      <c r="H19">
        <f>(Soybeans!H19*1000)*(36.7437)/1000000</f>
        <v>803.58471899999984</v>
      </c>
      <c r="I19">
        <f>(Soybeans!I19*1000)*(36.7437)/1000000</f>
        <v>1174.2184209</v>
      </c>
      <c r="J19">
        <f>(Soybeans!J19*1000)*(36.7437)/1000000</f>
        <v>95.055951899999997</v>
      </c>
      <c r="K19">
        <f>(Soybeans!K19*1000)*(36.7437)/1000000</f>
        <v>1269.2743728</v>
      </c>
      <c r="L19">
        <f>(Soybeans!L19*1000)*(36.7437)/1000000</f>
        <v>302.47413839999996</v>
      </c>
      <c r="M19">
        <f>Soybeans!M19</f>
        <v>5.88</v>
      </c>
      <c r="N19">
        <f>(Soybeans!N19*1000)*(36.7437)/1000000</f>
        <v>758.24299319999989</v>
      </c>
      <c r="O19">
        <f>(Soybeans!O19*1000)*(36.7437)/1000000</f>
        <v>3807.7863746999997</v>
      </c>
      <c r="P19">
        <f>Soybeans!P19</f>
        <v>5027030278</v>
      </c>
      <c r="Q19">
        <f>Soybeans!Q19</f>
        <v>242843</v>
      </c>
      <c r="R19">
        <f>Soybeans!R19</f>
        <v>17472239624529</v>
      </c>
      <c r="S19">
        <f>Soybeans!S19</f>
        <v>4855.2160000000003</v>
      </c>
      <c r="T19">
        <f>Soybeans!T19</f>
        <v>52.802</v>
      </c>
      <c r="U19">
        <f>(Soybeans!U19*1000)*(36.7437)/1000000</f>
        <v>2072.8590917999995</v>
      </c>
      <c r="V19" s="11">
        <v>42.6</v>
      </c>
      <c r="W19" s="13">
        <v>177.3</v>
      </c>
    </row>
    <row r="20" spans="1:23" x14ac:dyDescent="0.3">
      <c r="A20">
        <v>1988</v>
      </c>
      <c r="B20">
        <f>Soybeans!B20</f>
        <v>88.247077941894531</v>
      </c>
      <c r="C20">
        <f>Soybeans!C20</f>
        <v>94.016883850097656</v>
      </c>
      <c r="D20" s="8">
        <f>(Soybeans!D20*1000)*(36.7437)/1000000</f>
        <v>302.47413839999996</v>
      </c>
      <c r="E20">
        <f>(Soybeans!E20*1000)*(36.7437)/1000000</f>
        <v>1548.8571860999998</v>
      </c>
      <c r="F20">
        <f>(Soybeans!F20*1000)*(36.7437)/1000000</f>
        <v>3.6008825999999998</v>
      </c>
      <c r="G20">
        <f>(Soybeans!G20*1000)*(36.7437)/1000000</f>
        <v>1854.9322070999999</v>
      </c>
      <c r="H20">
        <f>(Soybeans!H20*1000)*(36.7437)/1000000</f>
        <v>527.45581349999998</v>
      </c>
      <c r="I20">
        <f>(Soybeans!I20*1000)*(36.7437)/1000000</f>
        <v>1057.9980977999999</v>
      </c>
      <c r="J20">
        <f>(Soybeans!J20*1000)*(36.7437)/1000000</f>
        <v>87.450006000000002</v>
      </c>
      <c r="K20">
        <f>(Soybeans!K20*1000)*(36.7437)/1000000</f>
        <v>1145.4481037999999</v>
      </c>
      <c r="L20">
        <f>(Soybeans!L20*1000)*(36.7437)/1000000</f>
        <v>182.02828979999998</v>
      </c>
      <c r="M20">
        <f>Soybeans!M20</f>
        <v>7.42</v>
      </c>
      <c r="N20">
        <f>(Soybeans!N20*1000)*(36.7437)/1000000</f>
        <v>708.27156119999995</v>
      </c>
      <c r="O20">
        <f>(Soybeans!O20*1000)*(36.7437)/1000000</f>
        <v>3521.2590021000001</v>
      </c>
      <c r="P20">
        <f>Soybeans!P20</f>
        <v>5117167006</v>
      </c>
      <c r="Q20">
        <f>Soybeans!Q20</f>
        <v>245061</v>
      </c>
      <c r="R20">
        <f>Soybeans!R20</f>
        <v>19524821807843.898</v>
      </c>
      <c r="S20">
        <f>Soybeans!S20</f>
        <v>5236.4380000000001</v>
      </c>
      <c r="T20">
        <f>Soybeans!T20</f>
        <v>54.865000000000002</v>
      </c>
      <c r="U20">
        <f>(Soybeans!U20*1000)*(36.7437)/1000000</f>
        <v>1672.9039172999999</v>
      </c>
      <c r="V20" s="11">
        <v>44.3</v>
      </c>
      <c r="W20" s="13">
        <v>234.8</v>
      </c>
    </row>
    <row r="21" spans="1:23" x14ac:dyDescent="0.3">
      <c r="A21">
        <v>1989</v>
      </c>
      <c r="B21">
        <f>Soybeans!B21</f>
        <v>90.934188842773438</v>
      </c>
      <c r="C21">
        <f>Soybeans!C21</f>
        <v>84.0772705078125</v>
      </c>
      <c r="D21" s="8">
        <f>(Soybeans!D21*1000)*(36.7437)/1000000</f>
        <v>182.02828979999998</v>
      </c>
      <c r="E21">
        <f>(Soybeans!E21*1000)*(36.7437)/1000000</f>
        <v>1923.6796698000001</v>
      </c>
      <c r="F21">
        <f>(Soybeans!F21*1000)*(36.7437)/1000000</f>
        <v>2.4985715999999996</v>
      </c>
      <c r="G21">
        <f>(Soybeans!G21*1000)*(36.7437)/1000000</f>
        <v>2108.2065312</v>
      </c>
      <c r="H21">
        <f>(Soybeans!H21*1000)*(36.7437)/1000000</f>
        <v>622.18107209999994</v>
      </c>
      <c r="I21">
        <f>(Soybeans!I21*1000)*(36.7437)/1000000</f>
        <v>1145.9992592999999</v>
      </c>
      <c r="J21">
        <f>(Soybeans!J21*1000)*(36.7437)/1000000</f>
        <v>100.89820019999999</v>
      </c>
      <c r="K21">
        <f>(Soybeans!K21*1000)*(36.7437)/1000000</f>
        <v>1246.8974595</v>
      </c>
      <c r="L21">
        <f>(Soybeans!L21*1000)*(36.7437)/1000000</f>
        <v>239.12799959999998</v>
      </c>
      <c r="M21">
        <f>Soybeans!M21</f>
        <v>5.69</v>
      </c>
      <c r="N21">
        <f>(Soybeans!N21*1000)*(36.7437)/1000000</f>
        <v>791.82673499999987</v>
      </c>
      <c r="O21">
        <f>(Soybeans!O21*1000)*(36.7437)/1000000</f>
        <v>3938.9981273999997</v>
      </c>
      <c r="P21">
        <f>Soybeans!P21</f>
        <v>5207654866</v>
      </c>
      <c r="Q21">
        <f>Soybeans!Q21</f>
        <v>247387</v>
      </c>
      <c r="R21">
        <f>Soybeans!R21</f>
        <v>20395813960211</v>
      </c>
      <c r="S21">
        <f>Soybeans!S21</f>
        <v>5641.58</v>
      </c>
      <c r="T21">
        <f>Soybeans!T21</f>
        <v>57.261000000000003</v>
      </c>
      <c r="U21">
        <f>(Soybeans!U21*1000)*(36.7437)/1000000</f>
        <v>1869.0785315999999</v>
      </c>
      <c r="V21" s="11">
        <v>46.8</v>
      </c>
      <c r="W21" s="13">
        <v>218.2</v>
      </c>
    </row>
    <row r="22" spans="1:23" x14ac:dyDescent="0.3">
      <c r="A22">
        <v>1990</v>
      </c>
      <c r="B22">
        <f>Soybeans!B22</f>
        <v>90.342483520507813</v>
      </c>
      <c r="C22">
        <f>Soybeans!C22</f>
        <v>84.066162109375</v>
      </c>
      <c r="D22" s="8">
        <f>(Soybeans!D22*1000)*(36.7437)/1000000</f>
        <v>239.12799959999998</v>
      </c>
      <c r="E22">
        <f>(Soybeans!E22*1000)*(36.7437)/1000000</f>
        <v>1925.9577791999998</v>
      </c>
      <c r="F22">
        <f>(Soybeans!F22*1000)*(36.7437)/1000000</f>
        <v>3.4906514999999994</v>
      </c>
      <c r="G22">
        <f>(Soybeans!G22*1000)*(36.7437)/1000000</f>
        <v>2168.5764302999996</v>
      </c>
      <c r="H22">
        <f>(Soybeans!H22*1000)*(36.7437)/1000000</f>
        <v>556.667055</v>
      </c>
      <c r="I22">
        <f>(Soybeans!I22*1000)*(36.7437)/1000000</f>
        <v>1187.0052284999999</v>
      </c>
      <c r="J22">
        <f>(Soybeans!J22*1000)*(36.7437)/1000000</f>
        <v>95.864313299999992</v>
      </c>
      <c r="K22">
        <f>(Soybeans!K22*1000)*(36.7437)/1000000</f>
        <v>1282.8695418</v>
      </c>
      <c r="L22">
        <f>(Soybeans!L22*1000)*(36.7437)/1000000</f>
        <v>329.03983349999999</v>
      </c>
      <c r="M22">
        <f>Soybeans!M22</f>
        <v>5.74</v>
      </c>
      <c r="N22">
        <f>(Soybeans!N22*1000)*(36.7437)/1000000</f>
        <v>785.91099929999996</v>
      </c>
      <c r="O22">
        <f>(Soybeans!O22*1000)*(36.7437)/1000000</f>
        <v>3831.9269856000001</v>
      </c>
      <c r="P22">
        <f>Soybeans!P22</f>
        <v>5299246757</v>
      </c>
      <c r="Q22">
        <f>Soybeans!Q22</f>
        <v>250181</v>
      </c>
      <c r="R22">
        <f>Soybeans!R22</f>
        <v>22922751084575</v>
      </c>
      <c r="S22">
        <f>Soybeans!S22</f>
        <v>5963.1450000000004</v>
      </c>
      <c r="T22">
        <f>Soybeans!T22</f>
        <v>59.774999999999999</v>
      </c>
      <c r="U22">
        <f>(Soybeans!U22*1000)*(36.7437)/1000000</f>
        <v>1839.5365967999999</v>
      </c>
      <c r="V22" s="11">
        <v>49.5</v>
      </c>
      <c r="W22" s="13">
        <v>234.8</v>
      </c>
    </row>
    <row r="23" spans="1:23" x14ac:dyDescent="0.3">
      <c r="A23">
        <v>1991</v>
      </c>
      <c r="B23">
        <f>Soybeans!B23</f>
        <v>86.577346801757813</v>
      </c>
      <c r="C23">
        <f>Soybeans!C23</f>
        <v>82.594825744628906</v>
      </c>
      <c r="D23" s="8">
        <f>(Soybeans!D23*1000)*(36.7437)/1000000</f>
        <v>329.03983349999999</v>
      </c>
      <c r="E23">
        <f>(Soybeans!E23*1000)*(36.7437)/1000000</f>
        <v>1986.5481404999998</v>
      </c>
      <c r="F23">
        <f>(Soybeans!F23*1000)*(36.7437)/1000000</f>
        <v>3.4539077999999996</v>
      </c>
      <c r="G23">
        <f>(Soybeans!G23*1000)*(36.7437)/1000000</f>
        <v>2319.0418817999998</v>
      </c>
      <c r="H23">
        <f>(Soybeans!H23*1000)*(36.7437)/1000000</f>
        <v>683.94723179999994</v>
      </c>
      <c r="I23">
        <f>(Soybeans!I23*1000)*(36.7437)/1000000</f>
        <v>1253.9889936</v>
      </c>
      <c r="J23">
        <f>(Soybeans!J23*1000)*(36.7437)/1000000</f>
        <v>102.66189779999999</v>
      </c>
      <c r="K23">
        <f>(Soybeans!K23*1000)*(36.7437)/1000000</f>
        <v>1356.6508913999999</v>
      </c>
      <c r="L23">
        <f>(Soybeans!L23*1000)*(36.7437)/1000000</f>
        <v>278.44375859999997</v>
      </c>
      <c r="M23">
        <f>Soybeans!M23</f>
        <v>5.58</v>
      </c>
      <c r="N23">
        <f>(Soybeans!N23*1000)*(36.7437)/1000000</f>
        <v>715.39983899999993</v>
      </c>
      <c r="O23">
        <f>(Soybeans!O23*1000)*(36.7437)/1000000</f>
        <v>3941.8641359999997</v>
      </c>
      <c r="P23">
        <f>Soybeans!P23</f>
        <v>5388496229</v>
      </c>
      <c r="Q23">
        <f>Soybeans!Q23</f>
        <v>253530</v>
      </c>
      <c r="R23">
        <f>Soybeans!R23</f>
        <v>23920903881560.898</v>
      </c>
      <c r="S23">
        <f>Soybeans!S23</f>
        <v>6158.1289999999999</v>
      </c>
      <c r="T23">
        <f>Soybeans!T23</f>
        <v>61.774000000000001</v>
      </c>
      <c r="U23">
        <f>(Soybeans!U23*1000)*(36.7437)/1000000</f>
        <v>2040.5981231999999</v>
      </c>
      <c r="V23" s="11">
        <v>51.3</v>
      </c>
      <c r="W23" s="13">
        <v>190.9</v>
      </c>
    </row>
    <row r="24" spans="1:23" x14ac:dyDescent="0.3">
      <c r="A24">
        <v>1992</v>
      </c>
      <c r="B24">
        <f>Soybeans!B24</f>
        <v>83.473403930664063</v>
      </c>
      <c r="C24">
        <f>Soybeans!C24</f>
        <v>86.182106018066406</v>
      </c>
      <c r="D24" s="8">
        <f>(Soybeans!D24*1000)*(36.7437)/1000000</f>
        <v>278.44375859999997</v>
      </c>
      <c r="E24">
        <f>(Soybeans!E24*1000)*(36.7437)/1000000</f>
        <v>2190.3654443999994</v>
      </c>
      <c r="F24">
        <f>(Soybeans!F24*1000)*(36.7437)/1000000</f>
        <v>2.0576471999999999</v>
      </c>
      <c r="G24">
        <f>(Soybeans!G24*1000)*(36.7437)/1000000</f>
        <v>2470.8668501999996</v>
      </c>
      <c r="H24">
        <f>(Soybeans!H24*1000)*(36.7437)/1000000</f>
        <v>770.5888764</v>
      </c>
      <c r="I24">
        <f>(Soybeans!I24*1000)*(36.7437)/1000000</f>
        <v>1278.9747095999999</v>
      </c>
      <c r="J24">
        <f>(Soybeans!J24*1000)*(36.7437)/1000000</f>
        <v>128.71318109999999</v>
      </c>
      <c r="K24">
        <f>(Soybeans!K24*1000)*(36.7437)/1000000</f>
        <v>1407.9818402999999</v>
      </c>
      <c r="L24">
        <f>(Soybeans!L24*1000)*(36.7437)/1000000</f>
        <v>292.2961335</v>
      </c>
      <c r="M24">
        <f>Soybeans!M24</f>
        <v>5.56</v>
      </c>
      <c r="N24">
        <f>(Soybeans!N24*1000)*(36.7437)/1000000</f>
        <v>791.97370979999994</v>
      </c>
      <c r="O24">
        <f>(Soybeans!O24*1000)*(36.7437)/1000000</f>
        <v>4306.5086147999991</v>
      </c>
      <c r="P24">
        <f>Soybeans!P24</f>
        <v>5477123966</v>
      </c>
      <c r="Q24">
        <f>Soybeans!Q24</f>
        <v>256922</v>
      </c>
      <c r="R24">
        <f>Soybeans!R24</f>
        <v>25546959069356.801</v>
      </c>
      <c r="S24">
        <f>Soybeans!S24</f>
        <v>6520.3270000000002</v>
      </c>
      <c r="T24">
        <f>Soybeans!T24</f>
        <v>63.42</v>
      </c>
      <c r="U24">
        <f>(Soybeans!U24*1000)*(36.7437)/1000000</f>
        <v>2178.5707166999996</v>
      </c>
      <c r="V24" s="11">
        <v>52</v>
      </c>
      <c r="W24" s="13">
        <v>131.80000000000001</v>
      </c>
    </row>
    <row r="25" spans="1:23" x14ac:dyDescent="0.3">
      <c r="A25">
        <v>1993</v>
      </c>
      <c r="B25">
        <f>Soybeans!B25</f>
        <v>81.141952514648438</v>
      </c>
      <c r="C25">
        <f>Soybeans!C25</f>
        <v>84.289794921875</v>
      </c>
      <c r="D25" s="8">
        <f>(Soybeans!D25*1000)*(36.7437)/1000000</f>
        <v>292.2961335</v>
      </c>
      <c r="E25">
        <f>(Soybeans!E25*1000)*(36.7437)/1000000</f>
        <v>1869.7031744999997</v>
      </c>
      <c r="F25">
        <f>(Soybeans!F25*1000)*(36.7437)/1000000</f>
        <v>6.4301474999999995</v>
      </c>
      <c r="G25">
        <f>(Soybeans!G25*1000)*(36.7437)/1000000</f>
        <v>2168.4294555000001</v>
      </c>
      <c r="H25">
        <f>(Soybeans!H25*1000)*(36.7437)/1000000</f>
        <v>588.11966219999988</v>
      </c>
      <c r="I25">
        <f>(Soybeans!I25*1000)*(36.7437)/1000000</f>
        <v>1275.5942891999998</v>
      </c>
      <c r="J25">
        <f>(Soybeans!J25*1000)*(36.7437)/1000000</f>
        <v>95.60710739999999</v>
      </c>
      <c r="K25">
        <f>(Soybeans!K25*1000)*(36.7437)/1000000</f>
        <v>1371.2013966</v>
      </c>
      <c r="L25">
        <f>(Soybeans!L25*1000)*(36.7437)/1000000</f>
        <v>209.10839669999999</v>
      </c>
      <c r="M25">
        <f>Soybeans!M25</f>
        <v>6.4</v>
      </c>
      <c r="N25">
        <f>(Soybeans!N25*1000)*(36.7437)/1000000</f>
        <v>690.15691709999987</v>
      </c>
      <c r="O25">
        <f>(Soybeans!O25*1000)*(36.7437)/1000000</f>
        <v>4319.7730904999999</v>
      </c>
      <c r="P25">
        <f>Soybeans!P25</f>
        <v>5564778621</v>
      </c>
      <c r="Q25">
        <f>Soybeans!Q25</f>
        <v>260282</v>
      </c>
      <c r="R25">
        <f>Soybeans!R25</f>
        <v>25974923485795.5</v>
      </c>
      <c r="S25">
        <f>Soybeans!S25</f>
        <v>6858.5590000000002</v>
      </c>
      <c r="T25">
        <f>Soybeans!T25</f>
        <v>65</v>
      </c>
      <c r="U25">
        <f>(Soybeans!U25*1000)*(36.7437)/1000000</f>
        <v>1959.3210587999999</v>
      </c>
      <c r="V25" s="11">
        <v>53.1</v>
      </c>
      <c r="W25" s="13">
        <v>140.9</v>
      </c>
    </row>
    <row r="26" spans="1:23" x14ac:dyDescent="0.3">
      <c r="A26">
        <v>1994</v>
      </c>
      <c r="B26">
        <f>Soybeans!B26</f>
        <v>85.531700134277344</v>
      </c>
      <c r="C26">
        <f>Soybeans!C26</f>
        <v>77.336288452148438</v>
      </c>
      <c r="D26" s="8">
        <f>(Soybeans!D26*1000)*(36.7437)/1000000</f>
        <v>209.10839669999999</v>
      </c>
      <c r="E26">
        <f>(Soybeans!E26*1000)*(36.7437)/1000000</f>
        <v>2514.8858027999995</v>
      </c>
      <c r="F26">
        <f>(Soybeans!F26*1000)*(36.7437)/1000000</f>
        <v>5.4748112999999998</v>
      </c>
      <c r="G26">
        <f>(Soybeans!G26*1000)*(36.7437)/1000000</f>
        <v>2729.4690107999995</v>
      </c>
      <c r="H26">
        <f>(Soybeans!H26*1000)*(36.7437)/1000000</f>
        <v>840.21818789999998</v>
      </c>
      <c r="I26">
        <f>(Soybeans!I26*1000)*(36.7437)/1000000</f>
        <v>1405.1525753999999</v>
      </c>
      <c r="J26">
        <f>(Soybeans!J26*1000)*(36.7437)/1000000</f>
        <v>149.28965309999998</v>
      </c>
      <c r="K26">
        <f>(Soybeans!K26*1000)*(36.7437)/1000000</f>
        <v>1554.4422284999998</v>
      </c>
      <c r="L26">
        <f>(Soybeans!L26*1000)*(36.7437)/1000000</f>
        <v>334.8085944</v>
      </c>
      <c r="M26">
        <f>Soybeans!M26</f>
        <v>5.48</v>
      </c>
      <c r="N26">
        <f>(Soybeans!N26*1000)*(36.7437)/1000000</f>
        <v>908.30426399999988</v>
      </c>
      <c r="O26">
        <f>(Soybeans!O26*1000)*(36.7437)/1000000</f>
        <v>5057.2558932000002</v>
      </c>
      <c r="P26">
        <f>Soybeans!P26</f>
        <v>5650853178</v>
      </c>
      <c r="Q26">
        <f>Soybeans!Q26</f>
        <v>263455</v>
      </c>
      <c r="R26">
        <f>Soybeans!R26</f>
        <v>27961448359307.602</v>
      </c>
      <c r="S26">
        <f>Soybeans!S26</f>
        <v>7287.2370000000001</v>
      </c>
      <c r="T26">
        <f>Soybeans!T26</f>
        <v>66.356999999999999</v>
      </c>
      <c r="U26">
        <f>(Soybeans!U26*1000)*(36.7437)/1000000</f>
        <v>2394.6604163999996</v>
      </c>
      <c r="V26" s="11">
        <v>54.3</v>
      </c>
      <c r="W26" s="13">
        <v>125.8</v>
      </c>
    </row>
    <row r="27" spans="1:23" x14ac:dyDescent="0.3">
      <c r="A27">
        <v>1995</v>
      </c>
      <c r="B27">
        <f>Soybeans!B27</f>
        <v>86.893562316894531</v>
      </c>
      <c r="C27">
        <f>Soybeans!C27</f>
        <v>77.72540283203125</v>
      </c>
      <c r="D27" s="8">
        <f>(Soybeans!D27*1000)*(36.7437)/1000000</f>
        <v>334.8085944</v>
      </c>
      <c r="E27">
        <f>(Soybeans!E27*1000)*(36.7437)/1000000</f>
        <v>2174.2717037999996</v>
      </c>
      <c r="F27">
        <f>(Soybeans!F27*1000)*(36.7437)/1000000</f>
        <v>4.445987699999999</v>
      </c>
      <c r="G27">
        <f>(Soybeans!G27*1000)*(36.7437)/1000000</f>
        <v>2513.5262858999995</v>
      </c>
      <c r="H27">
        <f>(Soybeans!H27*1000)*(36.7437)/1000000</f>
        <v>849.07341959999985</v>
      </c>
      <c r="I27">
        <f>(Soybeans!I27*1000)*(36.7437)/1000000</f>
        <v>1369.5479300999998</v>
      </c>
      <c r="J27">
        <f>(Soybeans!J27*1000)*(36.7437)/1000000</f>
        <v>111.44364209999999</v>
      </c>
      <c r="K27">
        <f>(Soybeans!K27*1000)*(36.7437)/1000000</f>
        <v>1480.9915721999998</v>
      </c>
      <c r="L27">
        <f>(Soybeans!L27*1000)*(36.7437)/1000000</f>
        <v>183.4612941</v>
      </c>
      <c r="M27">
        <f>Soybeans!M27</f>
        <v>6.72</v>
      </c>
      <c r="N27">
        <f>(Soybeans!N27*1000)*(36.7437)/1000000</f>
        <v>681.15471059999993</v>
      </c>
      <c r="O27">
        <f>(Soybeans!O27*1000)*(36.7437)/1000000</f>
        <v>4581.3147470999993</v>
      </c>
      <c r="P27">
        <f>Soybeans!P27</f>
        <v>5736505517</v>
      </c>
      <c r="Q27">
        <f>Soybeans!Q27</f>
        <v>266588</v>
      </c>
      <c r="R27">
        <f>Soybeans!R27</f>
        <v>31245419629026</v>
      </c>
      <c r="S27">
        <f>Soybeans!S27</f>
        <v>7639.7489999999998</v>
      </c>
      <c r="T27">
        <f>Soybeans!T27</f>
        <v>67.754000000000005</v>
      </c>
      <c r="U27">
        <f>(Soybeans!U27*1000)*(36.7437)/1000000</f>
        <v>2330.0649917999999</v>
      </c>
      <c r="V27" s="11">
        <v>55.8</v>
      </c>
      <c r="W27" s="13">
        <v>121.2</v>
      </c>
    </row>
    <row r="28" spans="1:23" x14ac:dyDescent="0.3">
      <c r="A28">
        <v>1996</v>
      </c>
      <c r="B28">
        <f>Soybeans!B28</f>
        <v>87.71954345703125</v>
      </c>
      <c r="C28">
        <f>Soybeans!C28</f>
        <v>83.900634765625</v>
      </c>
      <c r="D28" s="8">
        <f>(Soybeans!D28*1000)*(36.7437)/1000000</f>
        <v>183.4612941</v>
      </c>
      <c r="E28">
        <f>(Soybeans!E28*1000)*(36.7437)/1000000</f>
        <v>2380.2568860000001</v>
      </c>
      <c r="F28">
        <f>(Soybeans!F28*1000)*(36.7437)/1000000</f>
        <v>8.891975399999998</v>
      </c>
      <c r="G28">
        <f>(Soybeans!G28*1000)*(36.7437)/1000000</f>
        <v>2572.6101555</v>
      </c>
      <c r="H28">
        <f>(Soybeans!H28*1000)*(36.7437)/1000000</f>
        <v>885.89060699999993</v>
      </c>
      <c r="I28">
        <f>(Soybeans!I28*1000)*(36.7437)/1000000</f>
        <v>1435.9437959999998</v>
      </c>
      <c r="J28">
        <f>(Soybeans!J28*1000)*(36.7437)/1000000</f>
        <v>118.93935689999999</v>
      </c>
      <c r="K28">
        <f>(Soybeans!K28*1000)*(36.7437)/1000000</f>
        <v>1554.8831528999999</v>
      </c>
      <c r="L28">
        <f>(Soybeans!L28*1000)*(36.7437)/1000000</f>
        <v>131.8363956</v>
      </c>
      <c r="M28">
        <f>Soybeans!M28</f>
        <v>7.35</v>
      </c>
      <c r="N28">
        <f>(Soybeans!N28*1000)*(36.7437)/1000000</f>
        <v>569.49060629999997</v>
      </c>
      <c r="O28">
        <f>(Soybeans!O28*1000)*(36.7437)/1000000</f>
        <v>4847.6698283999995</v>
      </c>
      <c r="P28">
        <f>Soybeans!P28</f>
        <v>5822614627</v>
      </c>
      <c r="Q28">
        <f>Soybeans!Q28</f>
        <v>269714</v>
      </c>
      <c r="R28">
        <f>Soybeans!R28</f>
        <v>31968950237590.699</v>
      </c>
      <c r="S28">
        <f>Soybeans!S28</f>
        <v>8073.1220000000003</v>
      </c>
      <c r="T28">
        <f>Soybeans!T28</f>
        <v>69.203000000000003</v>
      </c>
      <c r="U28">
        <f>(Soybeans!U28*1000)*(36.7437)/1000000</f>
        <v>2440.7737598999997</v>
      </c>
      <c r="V28" s="11">
        <v>57.6</v>
      </c>
      <c r="W28" s="13">
        <v>107.6</v>
      </c>
    </row>
    <row r="29" spans="1:23" x14ac:dyDescent="0.3">
      <c r="A29">
        <v>1997</v>
      </c>
      <c r="B29">
        <f>Soybeans!B29</f>
        <v>94.477149963378906</v>
      </c>
      <c r="C29">
        <f>Soybeans!C29</f>
        <v>87.958404541015625</v>
      </c>
      <c r="D29" s="8">
        <f>(Soybeans!D29*1000)*(36.7437)/1000000</f>
        <v>131.8363956</v>
      </c>
      <c r="E29">
        <f>(Soybeans!E29*1000)*(36.7437)/1000000</f>
        <v>2688.7569911999999</v>
      </c>
      <c r="F29">
        <f>(Soybeans!F29*1000)*(36.7437)/1000000</f>
        <v>4.9971431999999991</v>
      </c>
      <c r="G29">
        <f>(Soybeans!G29*1000)*(36.7437)/1000000</f>
        <v>2825.5905299999999</v>
      </c>
      <c r="H29">
        <f>(Soybeans!H29*1000)*(36.7437)/1000000</f>
        <v>874.3530851999999</v>
      </c>
      <c r="I29">
        <f>(Soybeans!I29*1000)*(36.7437)/1000000</f>
        <v>1597.0281768</v>
      </c>
      <c r="J29">
        <f>(Soybeans!J29*1000)*(36.7437)/1000000</f>
        <v>154.39702739999998</v>
      </c>
      <c r="K29">
        <f>(Soybeans!K29*1000)*(36.7437)/1000000</f>
        <v>1751.4252041999998</v>
      </c>
      <c r="L29">
        <f>(Soybeans!L29*1000)*(36.7437)/1000000</f>
        <v>199.8122406</v>
      </c>
      <c r="M29">
        <f>Soybeans!M29</f>
        <v>6.47</v>
      </c>
      <c r="N29">
        <f>(Soybeans!N29*1000)*(36.7437)/1000000</f>
        <v>991.63897559999987</v>
      </c>
      <c r="O29">
        <f>(Soybeans!O29*1000)*(36.7437)/1000000</f>
        <v>5804.1450830999993</v>
      </c>
      <c r="P29">
        <f>Soybeans!P29</f>
        <v>5908466558</v>
      </c>
      <c r="Q29">
        <f>Soybeans!Q29</f>
        <v>272958</v>
      </c>
      <c r="R29">
        <f>Soybeans!R29</f>
        <v>31870560107975.699</v>
      </c>
      <c r="S29">
        <f>Soybeans!S29</f>
        <v>8577.5529999999999</v>
      </c>
      <c r="T29">
        <f>Soybeans!T29</f>
        <v>70.406999999999996</v>
      </c>
      <c r="U29">
        <f>(Soybeans!U29*1000)*(36.7437)/1000000</f>
        <v>2625.7782893999997</v>
      </c>
      <c r="V29" s="11">
        <v>59.2</v>
      </c>
      <c r="W29" s="13">
        <v>95.5</v>
      </c>
    </row>
    <row r="30" spans="1:23" x14ac:dyDescent="0.3">
      <c r="A30">
        <v>1998</v>
      </c>
      <c r="B30">
        <f>Soybeans!B30</f>
        <v>90.744613647460938</v>
      </c>
      <c r="C30">
        <f>Soybeans!C30</f>
        <v>95.42041015625</v>
      </c>
      <c r="D30" s="8">
        <f>(Soybeans!D30*1000)*(36.7437)/1000000</f>
        <v>199.8122406</v>
      </c>
      <c r="E30">
        <f>(Soybeans!E30*1000)*(36.7437)/1000000</f>
        <v>2741.0065325999999</v>
      </c>
      <c r="F30">
        <f>(Soybeans!F30*1000)*(36.7437)/1000000</f>
        <v>3.5273951999999995</v>
      </c>
      <c r="G30">
        <f>(Soybeans!G30*1000)*(36.7437)/1000000</f>
        <v>2944.3461683999994</v>
      </c>
      <c r="H30">
        <f>(Soybeans!H30*1000)*(36.7437)/1000000</f>
        <v>804.65028629999995</v>
      </c>
      <c r="I30">
        <f>(Soybeans!I30*1000)*(36.7437)/1000000</f>
        <v>1589.6059493999999</v>
      </c>
      <c r="J30">
        <f>(Soybeans!J30*1000)*(36.7437)/1000000</f>
        <v>201.61268189999998</v>
      </c>
      <c r="K30">
        <f>(Soybeans!K30*1000)*(36.7437)/1000000</f>
        <v>1791.2186313</v>
      </c>
      <c r="L30">
        <f>(Soybeans!L30*1000)*(36.7437)/1000000</f>
        <v>348.47725079999998</v>
      </c>
      <c r="M30">
        <f>Soybeans!M30</f>
        <v>4.93</v>
      </c>
      <c r="N30">
        <f>(Soybeans!N30*1000)*(36.7437)/1000000</f>
        <v>1054.8748833</v>
      </c>
      <c r="O30">
        <f>(Soybeans!O30*1000)*(36.7437)/1000000</f>
        <v>5872.7823146999999</v>
      </c>
      <c r="P30">
        <f>Soybeans!P30</f>
        <v>5994040064</v>
      </c>
      <c r="Q30">
        <f>Soybeans!Q30</f>
        <v>276154</v>
      </c>
      <c r="R30">
        <f>Soybeans!R30</f>
        <v>31733749169046.699</v>
      </c>
      <c r="S30">
        <f>Soybeans!S30</f>
        <v>9062.8169999999991</v>
      </c>
      <c r="T30">
        <f>Soybeans!T30</f>
        <v>70.966999999999999</v>
      </c>
      <c r="U30">
        <f>(Soybeans!U30*1000)*(36.7437)/1000000</f>
        <v>2595.8689175999998</v>
      </c>
      <c r="V30" s="11">
        <v>60.4</v>
      </c>
      <c r="W30" s="13">
        <v>65.2</v>
      </c>
    </row>
    <row r="31" spans="1:23" x14ac:dyDescent="0.3">
      <c r="A31">
        <v>1999</v>
      </c>
      <c r="B31">
        <f>Soybeans!B31</f>
        <v>90.397735595703125</v>
      </c>
      <c r="C31">
        <f>Soybeans!C31</f>
        <v>104.23922729492188</v>
      </c>
      <c r="D31" s="8">
        <f>(Soybeans!D31*1000)*(36.7437)/1000000</f>
        <v>348.47725079999998</v>
      </c>
      <c r="E31">
        <f>(Soybeans!E31*1000)*(36.7437)/1000000</f>
        <v>2653.7769887999998</v>
      </c>
      <c r="F31">
        <f>(Soybeans!F31*1000)*(36.7437)/1000000</f>
        <v>4.1887818000000001</v>
      </c>
      <c r="G31">
        <f>(Soybeans!G31*1000)*(36.7437)/1000000</f>
        <v>3006.4430213999995</v>
      </c>
      <c r="H31">
        <f>(Soybeans!H31*1000)*(36.7437)/1000000</f>
        <v>975.06756689999997</v>
      </c>
      <c r="I31">
        <f>(Soybeans!I31*1000)*(36.7437)/1000000</f>
        <v>1577.2968098999997</v>
      </c>
      <c r="J31">
        <f>(Soybeans!J31*1000)*(36.7437)/1000000</f>
        <v>163.91364569999999</v>
      </c>
      <c r="K31">
        <f>(Soybeans!K31*1000)*(36.7437)/1000000</f>
        <v>1741.2104555999999</v>
      </c>
      <c r="L31">
        <f>(Soybeans!L31*1000)*(36.7437)/1000000</f>
        <v>290.1649989</v>
      </c>
      <c r="M31">
        <f>Soybeans!M31</f>
        <v>4.63</v>
      </c>
      <c r="N31">
        <f>(Soybeans!N31*1000)*(36.7437)/1000000</f>
        <v>1104.5156219999999</v>
      </c>
      <c r="O31">
        <f>(Soybeans!O31*1000)*(36.7437)/1000000</f>
        <v>5889.9416225999994</v>
      </c>
      <c r="P31">
        <f>Soybeans!P31</f>
        <v>6078404337</v>
      </c>
      <c r="Q31">
        <f>Soybeans!Q31</f>
        <v>279328</v>
      </c>
      <c r="R31">
        <f>Soybeans!R31</f>
        <v>32782827769545.301</v>
      </c>
      <c r="S31">
        <f>Soybeans!S31</f>
        <v>9631.1720000000005</v>
      </c>
      <c r="T31">
        <f>Soybeans!T31</f>
        <v>72.001000000000005</v>
      </c>
      <c r="U31">
        <f>(Soybeans!U31*1000)*(36.7437)/1000000</f>
        <v>2716.2780225000001</v>
      </c>
      <c r="V31" s="11">
        <v>61.7</v>
      </c>
      <c r="W31" s="13">
        <v>97</v>
      </c>
    </row>
    <row r="32" spans="1:23" x14ac:dyDescent="0.3">
      <c r="A32">
        <v>2000</v>
      </c>
      <c r="B32">
        <f>Soybeans!B32</f>
        <v>95.705078125</v>
      </c>
      <c r="C32">
        <f>Soybeans!C32</f>
        <v>110.65268707275391</v>
      </c>
      <c r="D32" s="8">
        <f>(Soybeans!D32*1000)*(36.7437)/1000000</f>
        <v>290.1649989</v>
      </c>
      <c r="E32">
        <f>(Soybeans!E32*1000)*(36.7437)/1000000</f>
        <v>2757.7984034999999</v>
      </c>
      <c r="F32">
        <f>(Soybeans!F32*1000)*(36.7437)/1000000</f>
        <v>3.5641389000000001</v>
      </c>
      <c r="G32">
        <f>(Soybeans!G32*1000)*(36.7437)/1000000</f>
        <v>3051.5275412999999</v>
      </c>
      <c r="H32">
        <f>(Soybeans!H32*1000)*(36.7437)/1000000</f>
        <v>995.86450109999987</v>
      </c>
      <c r="I32">
        <f>(Soybeans!I32*1000)*(36.7437)/1000000</f>
        <v>1639.6876124999997</v>
      </c>
      <c r="J32">
        <f>(Soybeans!J32*1000)*(36.7437)/1000000</f>
        <v>168.2126586</v>
      </c>
      <c r="K32">
        <f>(Soybeans!K32*1000)*(36.7437)/1000000</f>
        <v>1807.9002710999998</v>
      </c>
      <c r="L32">
        <f>(Soybeans!L32*1000)*(36.7437)/1000000</f>
        <v>247.76276909999999</v>
      </c>
      <c r="M32">
        <f>Soybeans!M32</f>
        <v>4.54</v>
      </c>
      <c r="N32">
        <f>(Soybeans!N32*1000)*(36.7437)/1000000</f>
        <v>1257.7001072999999</v>
      </c>
      <c r="O32">
        <f>(Soybeans!O32*1000)*(36.7437)/1000000</f>
        <v>6458.6238674999986</v>
      </c>
      <c r="P32">
        <f>Soybeans!P32</f>
        <v>6161884811</v>
      </c>
      <c r="Q32">
        <f>Soybeans!Q32</f>
        <v>282398</v>
      </c>
      <c r="R32">
        <f>Soybeans!R32</f>
        <v>33898156427205.898</v>
      </c>
      <c r="S32">
        <f>Soybeans!S32</f>
        <v>10250.951999999999</v>
      </c>
      <c r="T32">
        <f>Soybeans!T32</f>
        <v>73.822000000000003</v>
      </c>
      <c r="U32">
        <f>(Soybeans!U32*1000)*(36.7437)/1000000</f>
        <v>2803.7647721999997</v>
      </c>
      <c r="V32" s="11">
        <v>63.1</v>
      </c>
      <c r="W32" s="13">
        <v>148.5</v>
      </c>
    </row>
    <row r="33" spans="1:23" x14ac:dyDescent="0.3">
      <c r="A33">
        <v>2001</v>
      </c>
      <c r="B33">
        <f>Soybeans!B33</f>
        <v>97.411094665527344</v>
      </c>
      <c r="C33">
        <f>Soybeans!C33</f>
        <v>117.24627685546875</v>
      </c>
      <c r="D33" s="8">
        <f>(Soybeans!D33*1000)*(36.7437)/1000000</f>
        <v>247.76276909999999</v>
      </c>
      <c r="E33">
        <f>(Soybeans!E33*1000)*(36.7437)/1000000</f>
        <v>2890.7003663999994</v>
      </c>
      <c r="F33">
        <f>(Soybeans!F33*1000)*(36.7437)/1000000</f>
        <v>2.3148530999999997</v>
      </c>
      <c r="G33">
        <f>(Soybeans!G33*1000)*(36.7437)/1000000</f>
        <v>3140.7779885999998</v>
      </c>
      <c r="H33">
        <f>(Soybeans!H33*1000)*(36.7437)/1000000</f>
        <v>1063.6566275999999</v>
      </c>
      <c r="I33">
        <f>(Soybeans!I33*1000)*(36.7437)/1000000</f>
        <v>1699.7268182999999</v>
      </c>
      <c r="J33">
        <f>(Soybeans!J33*1000)*(36.7437)/1000000</f>
        <v>169.31496959999998</v>
      </c>
      <c r="K33">
        <f>(Soybeans!K33*1000)*(36.7437)/1000000</f>
        <v>1869.0417878999999</v>
      </c>
      <c r="L33">
        <f>(Soybeans!L33*1000)*(36.7437)/1000000</f>
        <v>208.0795731</v>
      </c>
      <c r="M33">
        <f>Soybeans!M33</f>
        <v>4.38</v>
      </c>
      <c r="N33">
        <f>(Soybeans!N33*1000)*(36.7437)/1000000</f>
        <v>1362.5298833999998</v>
      </c>
      <c r="O33">
        <f>(Soybeans!O33*1000)*(36.7437)/1000000</f>
        <v>6793.7998988999998</v>
      </c>
      <c r="P33">
        <f>Soybeans!P33</f>
        <v>6245112906</v>
      </c>
      <c r="Q33">
        <f>Soybeans!Q33</f>
        <v>285225</v>
      </c>
      <c r="R33">
        <f>Soybeans!R33</f>
        <v>33690417699612.699</v>
      </c>
      <c r="S33">
        <f>Soybeans!S33</f>
        <v>10581.929</v>
      </c>
      <c r="T33">
        <f>Soybeans!T33</f>
        <v>75.302000000000007</v>
      </c>
      <c r="U33">
        <f>(Soybeans!U33*1000)*(36.7437)/1000000</f>
        <v>2932.6984154999996</v>
      </c>
      <c r="V33" s="11">
        <v>65.099999999999994</v>
      </c>
      <c r="W33" s="13">
        <v>121.2</v>
      </c>
    </row>
    <row r="34" spans="1:23" x14ac:dyDescent="0.3">
      <c r="A34">
        <v>2002</v>
      </c>
      <c r="B34">
        <f>Soybeans!B34</f>
        <v>99.173980712890625</v>
      </c>
      <c r="C34">
        <f>Soybeans!C34</f>
        <v>103.79281616210938</v>
      </c>
      <c r="D34" s="8">
        <f>(Soybeans!D34*1000)*(36.7437)/1000000</f>
        <v>208.0795731</v>
      </c>
      <c r="E34">
        <f>(Soybeans!E34*1000)*(36.7437)/1000000</f>
        <v>2756.144937</v>
      </c>
      <c r="F34">
        <f>(Soybeans!F34*1000)*(36.7437)/1000000</f>
        <v>4.666449899999999</v>
      </c>
      <c r="G34">
        <f>(Soybeans!G34*1000)*(36.7437)/1000000</f>
        <v>2968.8909599999997</v>
      </c>
      <c r="H34">
        <f>(Soybeans!H34*1000)*(36.7437)/1000000</f>
        <v>1044.3661850999999</v>
      </c>
      <c r="I34">
        <f>(Soybeans!I34*1000)*(36.7437)/1000000</f>
        <v>1614.8121275999999</v>
      </c>
      <c r="J34">
        <f>(Soybeans!J34*1000)*(36.7437)/1000000</f>
        <v>131.39547119999997</v>
      </c>
      <c r="K34">
        <f>(Soybeans!K34*1000)*(36.7437)/1000000</f>
        <v>1746.2075987999999</v>
      </c>
      <c r="L34">
        <f>(Soybeans!L34*1000)*(36.7437)/1000000</f>
        <v>178.31717609999998</v>
      </c>
      <c r="M34">
        <f>Soybeans!M34</f>
        <v>5.53</v>
      </c>
      <c r="N34">
        <f>(Soybeans!N34*1000)*(36.7437)/1000000</f>
        <v>1648.1019197999999</v>
      </c>
      <c r="O34">
        <f>(Soybeans!O34*1000)*(36.7437)/1000000</f>
        <v>7232.1522398999996</v>
      </c>
      <c r="P34">
        <f>Soybeans!P34</f>
        <v>6327557399</v>
      </c>
      <c r="Q34">
        <f>Soybeans!Q34</f>
        <v>287955</v>
      </c>
      <c r="R34">
        <f>Soybeans!R34</f>
        <v>34991525564916.898</v>
      </c>
      <c r="S34">
        <f>Soybeans!S34</f>
        <v>10929.108</v>
      </c>
      <c r="T34">
        <f>Soybeans!T34</f>
        <v>76.290999999999997</v>
      </c>
      <c r="U34">
        <f>(Soybeans!U34*1000)*(36.7437)/1000000</f>
        <v>2790.5737838999994</v>
      </c>
      <c r="V34" s="11">
        <v>66.3</v>
      </c>
      <c r="W34" s="13">
        <v>104.5</v>
      </c>
    </row>
    <row r="35" spans="1:23" x14ac:dyDescent="0.3">
      <c r="A35">
        <v>2003</v>
      </c>
      <c r="B35">
        <f>Soybeans!B35</f>
        <v>96.531166076660156</v>
      </c>
      <c r="C35">
        <f>Soybeans!C35</f>
        <v>96.601188659667969</v>
      </c>
      <c r="D35" s="8">
        <f>(Soybeans!D35*1000)*(36.7437)/1000000</f>
        <v>178.31717609999998</v>
      </c>
      <c r="E35">
        <f>(Soybeans!E35*1000)*(36.7437)/1000000</f>
        <v>2453.8545171000001</v>
      </c>
      <c r="F35">
        <f>(Soybeans!F35*1000)*(36.7437)/1000000</f>
        <v>5.5482986999999993</v>
      </c>
      <c r="G35">
        <f>(Soybeans!G35*1000)*(36.7437)/1000000</f>
        <v>2637.7199918999995</v>
      </c>
      <c r="H35">
        <f>(Soybeans!H35*1000)*(36.7437)/1000000</f>
        <v>886.55199359999995</v>
      </c>
      <c r="I35">
        <f>(Soybeans!I35*1000)*(36.7437)/1000000</f>
        <v>1529.7137183999998</v>
      </c>
      <c r="J35">
        <f>(Soybeans!J35*1000)*(36.7437)/1000000</f>
        <v>109.05530159999999</v>
      </c>
      <c r="K35">
        <f>(Soybeans!K35*1000)*(36.7437)/1000000</f>
        <v>1638.7690199999997</v>
      </c>
      <c r="L35">
        <f>(Soybeans!L35*1000)*(36.7437)/1000000</f>
        <v>112.3989783</v>
      </c>
      <c r="M35">
        <f>Soybeans!M35</f>
        <v>7.34</v>
      </c>
      <c r="N35">
        <f>(Soybeans!N35*1000)*(36.7437)/1000000</f>
        <v>1484.1147866999997</v>
      </c>
      <c r="O35">
        <f>(Soybeans!O35*1000)*(36.7437)/1000000</f>
        <v>6851.9284322999993</v>
      </c>
      <c r="P35">
        <f>Soybeans!P35</f>
        <v>6409750441</v>
      </c>
      <c r="Q35">
        <f>Soybeans!Q35</f>
        <v>290626</v>
      </c>
      <c r="R35">
        <f>Soybeans!R35</f>
        <v>39243276986261.898</v>
      </c>
      <c r="S35">
        <f>Soybeans!S35</f>
        <v>11456.45</v>
      </c>
      <c r="T35">
        <f>Soybeans!T35</f>
        <v>77.894000000000005</v>
      </c>
      <c r="U35">
        <f>(Soybeans!U35*1000)*(36.7437)/1000000</f>
        <v>2525.3210135999998</v>
      </c>
      <c r="V35" s="11">
        <v>67.7</v>
      </c>
      <c r="W35" s="13">
        <v>124.2</v>
      </c>
    </row>
    <row r="36" spans="1:23" x14ac:dyDescent="0.3">
      <c r="A36">
        <v>2004</v>
      </c>
      <c r="B36">
        <f>Soybeans!B36</f>
        <v>93.627532958984375</v>
      </c>
      <c r="C36">
        <f>Soybeans!C36</f>
        <v>92.980888366699219</v>
      </c>
      <c r="D36" s="8">
        <f>(Soybeans!D36*1000)*(36.7437)/1000000</f>
        <v>112.3989783</v>
      </c>
      <c r="E36">
        <f>(Soybeans!E36*1000)*(36.7437)/1000000</f>
        <v>3123.8023991999999</v>
      </c>
      <c r="F36">
        <f>(Soybeans!F36*1000)*(36.7437)/1000000</f>
        <v>5.5850423999999999</v>
      </c>
      <c r="G36">
        <f>(Soybeans!G36*1000)*(36.7437)/1000000</f>
        <v>3241.7864198999996</v>
      </c>
      <c r="H36">
        <f>(Soybeans!H36*1000)*(36.7437)/1000000</f>
        <v>1097.166882</v>
      </c>
      <c r="I36">
        <f>(Soybeans!I36*1000)*(36.7437)/1000000</f>
        <v>1696.0891919999997</v>
      </c>
      <c r="J36">
        <f>(Soybeans!J36*1000)*(36.7437)/1000000</f>
        <v>192.79419389999998</v>
      </c>
      <c r="K36">
        <f>(Soybeans!K36*1000)*(36.7437)/1000000</f>
        <v>1888.8833858999999</v>
      </c>
      <c r="L36">
        <f>(Soybeans!L36*1000)*(36.7437)/1000000</f>
        <v>255.73615199999998</v>
      </c>
      <c r="M36">
        <f>Soybeans!M36</f>
        <v>5.74</v>
      </c>
      <c r="N36">
        <f>(Soybeans!N36*1000)*(36.7437)/1000000</f>
        <v>1839.3161345999999</v>
      </c>
      <c r="O36">
        <f>(Soybeans!O36*1000)*(36.7437)/1000000</f>
        <v>7917.9366566999997</v>
      </c>
      <c r="P36">
        <f>Soybeans!P36</f>
        <v>6492769815</v>
      </c>
      <c r="Q36">
        <f>Soybeans!Q36</f>
        <v>293262</v>
      </c>
      <c r="R36">
        <f>Soybeans!R36</f>
        <v>44225384449869.797</v>
      </c>
      <c r="S36">
        <f>Soybeans!S36</f>
        <v>12217.196</v>
      </c>
      <c r="T36">
        <f>Soybeans!T36</f>
        <v>79.826999999999998</v>
      </c>
      <c r="U36">
        <f>(Soybeans!U36*1000)*(36.7437)/1000000</f>
        <v>2986.0502678999997</v>
      </c>
      <c r="V36" s="11">
        <v>70</v>
      </c>
      <c r="W36" s="13">
        <v>180.3</v>
      </c>
    </row>
    <row r="37" spans="1:23" x14ac:dyDescent="0.3">
      <c r="A37">
        <v>2005</v>
      </c>
      <c r="B37">
        <f>Soybeans!B37</f>
        <v>94.789031982421875</v>
      </c>
      <c r="C37">
        <f>Soybeans!C37</f>
        <v>91.054237365722656</v>
      </c>
      <c r="D37" s="8">
        <f>(Soybeans!D37*1000)*(36.7437)/1000000</f>
        <v>255.73615199999998</v>
      </c>
      <c r="E37">
        <f>(Soybeans!E37*1000)*(36.7437)/1000000</f>
        <v>3068.3561558999995</v>
      </c>
      <c r="F37">
        <f>(Soybeans!F37*1000)*(36.7437)/1000000</f>
        <v>3.3804203999999998</v>
      </c>
      <c r="G37">
        <f>(Soybeans!G37*1000)*(36.7437)/1000000</f>
        <v>3327.4727282999997</v>
      </c>
      <c r="H37">
        <f>(Soybeans!H37*1000)*(36.7437)/1000000</f>
        <v>939.86710229999994</v>
      </c>
      <c r="I37">
        <f>(Soybeans!I37*1000)*(36.7437)/1000000</f>
        <v>1738.8588588</v>
      </c>
      <c r="J37">
        <f>(Soybeans!J37*1000)*(36.7437)/1000000</f>
        <v>199.40805989999998</v>
      </c>
      <c r="K37">
        <f>(Soybeans!K37*1000)*(36.7437)/1000000</f>
        <v>1938.2669186999999</v>
      </c>
      <c r="L37">
        <f>(Soybeans!L37*1000)*(36.7437)/1000000</f>
        <v>449.33870729999995</v>
      </c>
      <c r="M37">
        <f>Soybeans!M37</f>
        <v>5.66</v>
      </c>
      <c r="N37">
        <f>(Soybeans!N37*1000)*(36.7437)/1000000</f>
        <v>2043.5376191999999</v>
      </c>
      <c r="O37">
        <f>(Soybeans!O37*1000)*(36.7437)/1000000</f>
        <v>8112.1638548999999</v>
      </c>
      <c r="P37">
        <f>Soybeans!P37</f>
        <v>6575841506</v>
      </c>
      <c r="Q37">
        <f>Soybeans!Q37</f>
        <v>295993</v>
      </c>
      <c r="R37">
        <f>Soybeans!R37</f>
        <v>47900489808168.898</v>
      </c>
      <c r="S37">
        <f>Soybeans!S37</f>
        <v>13039.197</v>
      </c>
      <c r="T37">
        <f>Soybeans!T37</f>
        <v>82.126999999999995</v>
      </c>
      <c r="U37">
        <f>(Soybeans!U37*1000)*(36.7437)/1000000</f>
        <v>2878.1340209999994</v>
      </c>
      <c r="V37" s="11">
        <v>71.7</v>
      </c>
      <c r="W37" s="13">
        <v>198.5</v>
      </c>
    </row>
    <row r="38" spans="1:23" x14ac:dyDescent="0.3">
      <c r="A38">
        <v>2006</v>
      </c>
      <c r="B38">
        <f>Soybeans!B38</f>
        <v>92.982452392578125</v>
      </c>
      <c r="C38">
        <f>Soybeans!C38</f>
        <v>84.098709106445313</v>
      </c>
      <c r="D38" s="8">
        <f>(Soybeans!D38*1000)*(36.7437)/1000000</f>
        <v>449.33870729999995</v>
      </c>
      <c r="E38">
        <f>(Soybeans!E38*1000)*(36.7437)/1000000</f>
        <v>3196.7386437</v>
      </c>
      <c r="F38">
        <f>(Soybeans!F38*1000)*(36.7437)/1000000</f>
        <v>9.0389501999999986</v>
      </c>
      <c r="G38">
        <f>(Soybeans!G38*1000)*(36.7437)/1000000</f>
        <v>3655.1163011999997</v>
      </c>
      <c r="H38">
        <f>(Soybeans!H38*1000)*(36.7437)/1000000</f>
        <v>1116.4940681999999</v>
      </c>
      <c r="I38">
        <f>(Soybeans!I38*1000)*(36.7437)/1000000</f>
        <v>1807.7165525999999</v>
      </c>
      <c r="J38">
        <f>(Soybeans!J38*1000)*(36.7437)/1000000</f>
        <v>157.0793175</v>
      </c>
      <c r="K38">
        <f>(Soybeans!K38*1000)*(36.7437)/1000000</f>
        <v>1964.7958701</v>
      </c>
      <c r="L38">
        <f>(Soybeans!L38*1000)*(36.7437)/1000000</f>
        <v>573.82636289999994</v>
      </c>
      <c r="M38">
        <f>Soybeans!M38</f>
        <v>6.43</v>
      </c>
      <c r="N38">
        <f>(Soybeans!N38*1000)*(36.7437)/1000000</f>
        <v>2392.3823069999999</v>
      </c>
      <c r="O38">
        <f>(Soybeans!O38*1000)*(36.7437)/1000000</f>
        <v>8663.2826111999984</v>
      </c>
      <c r="P38">
        <f>Soybeans!P38</f>
        <v>6659977025</v>
      </c>
      <c r="Q38">
        <f>Soybeans!Q38</f>
        <v>298818</v>
      </c>
      <c r="R38">
        <f>Soybeans!R38</f>
        <v>51923507284496</v>
      </c>
      <c r="S38">
        <f>Soybeans!S38</f>
        <v>13815.583000000001</v>
      </c>
      <c r="T38">
        <f>Soybeans!T38</f>
        <v>84.44</v>
      </c>
      <c r="U38">
        <f>(Soybeans!U38*1000)*(36.7437)/1000000</f>
        <v>3081.2899382999999</v>
      </c>
      <c r="V38" s="11">
        <v>73.400000000000006</v>
      </c>
      <c r="W38" s="13">
        <v>160.6</v>
      </c>
    </row>
    <row r="39" spans="1:23" x14ac:dyDescent="0.3">
      <c r="A39">
        <v>2007</v>
      </c>
      <c r="B39">
        <f>Soybeans!B39</f>
        <v>89.185111999511719</v>
      </c>
      <c r="C39">
        <f>Soybeans!C39</f>
        <v>79.869598388671875</v>
      </c>
      <c r="D39" s="8">
        <f>(Soybeans!D39*1000)*(36.7437)/1000000</f>
        <v>573.82636289999994</v>
      </c>
      <c r="E39">
        <f>(Soybeans!E39*1000)*(36.7437)/1000000</f>
        <v>2677.1092382999996</v>
      </c>
      <c r="F39">
        <f>(Soybeans!F39*1000)*(36.7437)/1000000</f>
        <v>9.8840552999999982</v>
      </c>
      <c r="G39">
        <f>(Soybeans!G39*1000)*(36.7437)/1000000</f>
        <v>3260.8196564999994</v>
      </c>
      <c r="H39">
        <f>(Soybeans!H39*1000)*(36.7437)/1000000</f>
        <v>1158.8228105999999</v>
      </c>
      <c r="I39">
        <f>(Soybeans!I39*1000)*(36.7437)/1000000</f>
        <v>1803.4175396999999</v>
      </c>
      <c r="J39">
        <f>(Soybeans!J39*1000)*(36.7437)/1000000</f>
        <v>93.549460199999984</v>
      </c>
      <c r="K39">
        <f>(Soybeans!K39*1000)*(36.7437)/1000000</f>
        <v>1896.9669998999998</v>
      </c>
      <c r="L39">
        <f>(Soybeans!L39*1000)*(36.7437)/1000000</f>
        <v>205.02984599999996</v>
      </c>
      <c r="M39">
        <f>Soybeans!M39</f>
        <v>10.1</v>
      </c>
      <c r="N39">
        <f>(Soybeans!N39*1000)*(36.7437)/1000000</f>
        <v>2008.4473856999998</v>
      </c>
      <c r="O39">
        <f>(Soybeans!O39*1000)*(36.7437)/1000000</f>
        <v>8058.2241032999991</v>
      </c>
      <c r="P39">
        <f>Soybeans!P39</f>
        <v>6744489399</v>
      </c>
      <c r="Q39">
        <f>Soybeans!Q39</f>
        <v>301696</v>
      </c>
      <c r="R39">
        <f>Soybeans!R39</f>
        <v>58525785801185.797</v>
      </c>
      <c r="S39">
        <f>Soybeans!S39</f>
        <v>14474.227000000001</v>
      </c>
      <c r="T39">
        <f>Soybeans!T39</f>
        <v>86.606999999999999</v>
      </c>
      <c r="U39">
        <f>(Soybeans!U39*1000)*(36.7437)/1000000</f>
        <v>3055.7898104999995</v>
      </c>
      <c r="V39" s="11">
        <v>76.3</v>
      </c>
      <c r="W39" s="13">
        <v>159.1</v>
      </c>
    </row>
    <row r="40" spans="1:23" x14ac:dyDescent="0.3">
      <c r="A40">
        <v>2008</v>
      </c>
      <c r="B40">
        <f>Soybeans!B40</f>
        <v>92.104118347167969</v>
      </c>
      <c r="C40">
        <f>Soybeans!C40</f>
        <v>84.344528198242188</v>
      </c>
      <c r="D40" s="8">
        <f>(Soybeans!D40*1000)*(36.7437)/1000000</f>
        <v>205.02984599999996</v>
      </c>
      <c r="E40">
        <f>(Soybeans!E40*1000)*(36.7437)/1000000</f>
        <v>2967.0170312999999</v>
      </c>
      <c r="F40">
        <f>(Soybeans!F40*1000)*(36.7437)/1000000</f>
        <v>13.264475699999998</v>
      </c>
      <c r="G40">
        <f>(Soybeans!G40*1000)*(36.7437)/1000000</f>
        <v>3185.3113529999996</v>
      </c>
      <c r="H40">
        <f>(Soybeans!H40*1000)*(36.7437)/1000000</f>
        <v>1279.3054028999998</v>
      </c>
      <c r="I40">
        <f>(Soybeans!I40*1000)*(36.7437)/1000000</f>
        <v>1661.9175509999998</v>
      </c>
      <c r="J40">
        <f>(Soybeans!J40*1000)*(36.7437)/1000000</f>
        <v>105.89534339999999</v>
      </c>
      <c r="K40">
        <f>(Soybeans!K40*1000)*(36.7437)/1000000</f>
        <v>1767.8128943999998</v>
      </c>
      <c r="L40">
        <f>(Soybeans!L40*1000)*(36.7437)/1000000</f>
        <v>138.1930557</v>
      </c>
      <c r="M40">
        <f>Soybeans!M40</f>
        <v>9.9700000000000006</v>
      </c>
      <c r="N40">
        <f>(Soybeans!N40*1000)*(36.7437)/1000000</f>
        <v>1676.9824679999997</v>
      </c>
      <c r="O40">
        <f>(Soybeans!O40*1000)*(36.7437)/1000000</f>
        <v>7800.5037914999994</v>
      </c>
      <c r="P40">
        <f>Soybeans!P40</f>
        <v>6830513541</v>
      </c>
      <c r="Q40">
        <f>Soybeans!Q40</f>
        <v>304543</v>
      </c>
      <c r="R40">
        <f>Soybeans!R40</f>
        <v>64311729364641.297</v>
      </c>
      <c r="S40">
        <f>Soybeans!S40</f>
        <v>14769.861999999999</v>
      </c>
      <c r="T40">
        <f>Soybeans!T40</f>
        <v>89.17</v>
      </c>
      <c r="U40">
        <f>(Soybeans!U40*1000)*(36.7437)/1000000</f>
        <v>3047.1182972999995</v>
      </c>
      <c r="V40" s="11">
        <v>80.400000000000006</v>
      </c>
      <c r="W40" s="13">
        <v>113.6</v>
      </c>
    </row>
    <row r="41" spans="1:23" x14ac:dyDescent="0.3">
      <c r="A41">
        <v>2009</v>
      </c>
      <c r="B41">
        <f>Soybeans!B41</f>
        <v>85.875267028808594</v>
      </c>
      <c r="C41">
        <f>Soybeans!C41</f>
        <v>82.045845031738281</v>
      </c>
      <c r="D41" s="8">
        <f>(Soybeans!D41*1000)*(36.7437)/1000000</f>
        <v>138.1930557</v>
      </c>
      <c r="E41">
        <f>(Soybeans!E41*1000)*(36.7437)/1000000</f>
        <v>3360.9462389999994</v>
      </c>
      <c r="F41">
        <f>(Soybeans!F41*1000)*(36.7437)/1000000</f>
        <v>14.587248899999999</v>
      </c>
      <c r="G41">
        <f>(Soybeans!G41*1000)*(36.7437)/1000000</f>
        <v>3513.7265435999998</v>
      </c>
      <c r="H41">
        <f>(Soybeans!H41*1000)*(36.7437)/1000000</f>
        <v>1499.0694725999999</v>
      </c>
      <c r="I41">
        <f>(Soybeans!I41*1000)*(36.7437)/1000000</f>
        <v>1751.6824101</v>
      </c>
      <c r="J41">
        <f>(Soybeans!J41*1000)*(36.7437)/1000000</f>
        <v>112.10502869999999</v>
      </c>
      <c r="K41">
        <f>(Soybeans!K41*1000)*(36.7437)/1000000</f>
        <v>1863.7874388</v>
      </c>
      <c r="L41">
        <f>(Soybeans!L41*1000)*(36.7437)/1000000</f>
        <v>150.86963219999998</v>
      </c>
      <c r="M41">
        <f>Soybeans!M41</f>
        <v>9.59</v>
      </c>
      <c r="N41">
        <f>(Soybeans!N41*1000)*(36.7437)/1000000</f>
        <v>2307.7983095999998</v>
      </c>
      <c r="O41">
        <f>(Soybeans!O41*1000)*(36.7437)/1000000</f>
        <v>9589.5912881999993</v>
      </c>
      <c r="P41">
        <f>Soybeans!P41</f>
        <v>6916589116</v>
      </c>
      <c r="Q41">
        <f>Soybeans!Q41</f>
        <v>307240</v>
      </c>
      <c r="R41">
        <f>Soybeans!R41</f>
        <v>60982255960004.398</v>
      </c>
      <c r="S41">
        <f>Soybeans!S41</f>
        <v>14478.066999999999</v>
      </c>
      <c r="T41">
        <f>Soybeans!T41</f>
        <v>88.921000000000006</v>
      </c>
      <c r="U41">
        <f>(Soybeans!U41*1000)*(36.7437)/1000000</f>
        <v>3362.8569113999997</v>
      </c>
      <c r="V41" s="11">
        <v>81.900000000000006</v>
      </c>
      <c r="W41" s="13">
        <v>12.1</v>
      </c>
    </row>
    <row r="42" spans="1:23" x14ac:dyDescent="0.3">
      <c r="A42">
        <v>2010</v>
      </c>
      <c r="B42">
        <f>Soybeans!B42</f>
        <v>82.576629638671875</v>
      </c>
      <c r="C42">
        <f>Soybeans!C42</f>
        <v>78.358200073242188</v>
      </c>
      <c r="D42" s="8">
        <f>(Soybeans!D42*1000)*(36.7437)/1000000</f>
        <v>150.86963219999998</v>
      </c>
      <c r="E42">
        <f>(Soybeans!E42*1000)*(36.7437)/1000000</f>
        <v>3331.2940730999999</v>
      </c>
      <c r="F42">
        <f>(Soybeans!F42*1000)*(36.7437)/1000000</f>
        <v>14.4402741</v>
      </c>
      <c r="G42">
        <f>(Soybeans!G42*1000)*(36.7437)/1000000</f>
        <v>3496.6039793999998</v>
      </c>
      <c r="H42">
        <f>(Soybeans!H42*1000)*(36.7437)/1000000</f>
        <v>1504.9852082999998</v>
      </c>
      <c r="I42">
        <f>(Soybeans!I42*1000)*(36.7437)/1000000</f>
        <v>1647.9916886999997</v>
      </c>
      <c r="J42">
        <f>(Soybeans!J42*1000)*(36.7437)/1000000</f>
        <v>128.60294999999999</v>
      </c>
      <c r="K42">
        <f>(Soybeans!K42*1000)*(36.7437)/1000000</f>
        <v>1776.5946386999999</v>
      </c>
      <c r="L42">
        <f>(Soybeans!L42*1000)*(36.7437)/1000000</f>
        <v>215.02413239999998</v>
      </c>
      <c r="M42">
        <f>Soybeans!M42</f>
        <v>11.3</v>
      </c>
      <c r="N42">
        <f>(Soybeans!N42*1000)*(36.7437)/1000000</f>
        <v>2700.5149751999998</v>
      </c>
      <c r="O42">
        <f>(Soybeans!O42*1000)*(36.7437)/1000000</f>
        <v>9738.7707101999986</v>
      </c>
      <c r="P42">
        <f>Soybeans!P42</f>
        <v>7001266876</v>
      </c>
      <c r="Q42">
        <f>Soybeans!Q42</f>
        <v>309839</v>
      </c>
      <c r="R42">
        <f>Soybeans!R42</f>
        <v>66811191491614.898</v>
      </c>
      <c r="S42">
        <f>Soybeans!S42</f>
        <v>15048.971</v>
      </c>
      <c r="T42">
        <f>Soybeans!T42</f>
        <v>90.513999999999996</v>
      </c>
      <c r="U42">
        <f>(Soybeans!U42*1000)*(36.7437)/1000000</f>
        <v>3281.5798469999995</v>
      </c>
      <c r="V42" s="11">
        <v>82.5</v>
      </c>
      <c r="W42" s="13">
        <v>101.5</v>
      </c>
    </row>
    <row r="43" spans="1:23" x14ac:dyDescent="0.3">
      <c r="A43">
        <v>2011</v>
      </c>
      <c r="B43">
        <f>Soybeans!B43</f>
        <v>83.533126831054688</v>
      </c>
      <c r="C43">
        <f>Soybeans!C43</f>
        <v>83.055450439453125</v>
      </c>
      <c r="D43" s="8">
        <f>(Soybeans!D43*1000)*(36.7437)/1000000</f>
        <v>215.02413239999998</v>
      </c>
      <c r="E43">
        <f>(Soybeans!E43*1000)*(36.7437)/1000000</f>
        <v>3097.1632166999998</v>
      </c>
      <c r="F43">
        <f>(Soybeans!F43*1000)*(36.7437)/1000000</f>
        <v>16.130484299999999</v>
      </c>
      <c r="G43">
        <f>(Soybeans!G43*1000)*(36.7437)/1000000</f>
        <v>3328.3178333999995</v>
      </c>
      <c r="H43">
        <f>(Soybeans!H43*1000)*(36.7437)/1000000</f>
        <v>1366.3512281999997</v>
      </c>
      <c r="I43">
        <f>(Soybeans!I43*1000)*(36.7437)/1000000</f>
        <v>1702.9970076</v>
      </c>
      <c r="J43">
        <f>(Soybeans!J43*1000)*(36.7437)/1000000</f>
        <v>89.581140599999998</v>
      </c>
      <c r="K43">
        <f>(Soybeans!K43*1000)*(36.7437)/1000000</f>
        <v>1792.5781481999998</v>
      </c>
      <c r="L43">
        <f>(Soybeans!L43*1000)*(36.7437)/1000000</f>
        <v>169.38845699999999</v>
      </c>
      <c r="M43">
        <f>Soybeans!M43</f>
        <v>12.5</v>
      </c>
      <c r="N43">
        <f>(Soybeans!N43*1000)*(36.7437)/1000000</f>
        <v>2133.2657346000001</v>
      </c>
      <c r="O43">
        <f>(Soybeans!O43*1000)*(36.7437)/1000000</f>
        <v>8861.3311541999992</v>
      </c>
      <c r="P43">
        <f>Soybeans!P43</f>
        <v>7087120034</v>
      </c>
      <c r="Q43">
        <f>Soybeans!Q43</f>
        <v>312295</v>
      </c>
      <c r="R43">
        <f>Soybeans!R43</f>
        <v>74309709353789.203</v>
      </c>
      <c r="S43">
        <f>Soybeans!S43</f>
        <v>15599.732</v>
      </c>
      <c r="T43">
        <f>Soybeans!T43</f>
        <v>92.804000000000002</v>
      </c>
      <c r="U43">
        <f>(Soybeans!U43*1000)*(36.7437)/1000000</f>
        <v>3158.9293763999995</v>
      </c>
      <c r="V43" s="11">
        <v>85.5</v>
      </c>
      <c r="W43" s="13">
        <v>116.7</v>
      </c>
    </row>
    <row r="44" spans="1:23" x14ac:dyDescent="0.3">
      <c r="A44">
        <v>2012</v>
      </c>
      <c r="B44">
        <f>Soybeans!B44</f>
        <v>86.908031463623047</v>
      </c>
      <c r="C44">
        <f>Soybeans!C44</f>
        <v>83.028944651285812</v>
      </c>
      <c r="D44" s="8">
        <f>(Soybeans!D44*1000)*(36.7437)/1000000</f>
        <v>169.38845699999999</v>
      </c>
      <c r="E44">
        <f>(Soybeans!E44*1000)*(36.7437)/1000000</f>
        <v>3042.0476666999998</v>
      </c>
      <c r="F44">
        <f>(Soybeans!F44*1000)*(36.7437)/1000000</f>
        <v>40.528301099999993</v>
      </c>
      <c r="G44">
        <f>(Soybeans!G44*1000)*(36.7437)/1000000</f>
        <v>3251.9644247999995</v>
      </c>
      <c r="H44">
        <f>(Soybeans!H44*1000)*(36.7437)/1000000</f>
        <v>1327.5131372999999</v>
      </c>
      <c r="I44">
        <f>(Soybeans!I44*1000)*(36.7437)/1000000</f>
        <v>1688.9976578999999</v>
      </c>
      <c r="J44">
        <f>(Soybeans!J44*1000)*(36.7437)/1000000</f>
        <v>94.908977099999987</v>
      </c>
      <c r="K44">
        <f>(Soybeans!K44*1000)*(36.7437)/1000000</f>
        <v>1783.9066349999998</v>
      </c>
      <c r="L44">
        <f>(Soybeans!L44*1000)*(36.7437)/1000000</f>
        <v>140.54465250000001</v>
      </c>
      <c r="M44">
        <f>Soybeans!M44</f>
        <v>14.4</v>
      </c>
      <c r="N44">
        <f>(Soybeans!N44*1000)*(36.7437)/1000000</f>
        <v>2142.6721217999998</v>
      </c>
      <c r="O44">
        <f>(Soybeans!O44*1000)*(36.7437)/1000000</f>
        <v>9881.2260350999986</v>
      </c>
      <c r="P44">
        <f>Soybeans!P44</f>
        <v>7176929184</v>
      </c>
      <c r="Q44">
        <f>Soybeans!Q44</f>
        <v>314725</v>
      </c>
      <c r="R44">
        <f>Soybeans!R44</f>
        <v>75960594595757</v>
      </c>
      <c r="S44">
        <f>Soybeans!S44</f>
        <v>16253.97</v>
      </c>
      <c r="T44">
        <f>Soybeans!T44</f>
        <v>94.534000000000006</v>
      </c>
      <c r="U44">
        <f>(Soybeans!U44*1000)*(36.7437)/1000000</f>
        <v>3111.4197722999997</v>
      </c>
      <c r="V44" s="11">
        <v>87.6</v>
      </c>
      <c r="W44" s="13">
        <v>125.8</v>
      </c>
    </row>
    <row r="45" spans="1:23" x14ac:dyDescent="0.3">
      <c r="A45">
        <v>2013</v>
      </c>
      <c r="B45">
        <f>Soybeans!B45</f>
        <v>89.235856374104813</v>
      </c>
      <c r="C45">
        <f>Soybeans!C45</f>
        <v>86.381656646728516</v>
      </c>
      <c r="D45" s="8">
        <f>(Soybeans!D45*1000)*(36.7437)/1000000</f>
        <v>140.54465250000001</v>
      </c>
      <c r="E45">
        <f>(Soybeans!E45*1000)*(36.7437)/1000000</f>
        <v>3357.0146630999998</v>
      </c>
      <c r="F45">
        <f>(Soybeans!F45*1000)*(36.7437)/1000000</f>
        <v>71.760446099999996</v>
      </c>
      <c r="G45">
        <f>(Soybeans!G45*1000)*(36.7437)/1000000</f>
        <v>3569.3197616999996</v>
      </c>
      <c r="H45">
        <f>(Soybeans!H45*1000)*(36.7437)/1000000</f>
        <v>1638.5485578</v>
      </c>
      <c r="I45">
        <f>(Soybeans!I45*1000)*(36.7437)/1000000</f>
        <v>1734.0086903999998</v>
      </c>
      <c r="J45">
        <f>(Soybeans!J45*1000)*(36.7437)/1000000</f>
        <v>104.75628869999998</v>
      </c>
      <c r="K45">
        <f>(Soybeans!K45*1000)*(36.7437)/1000000</f>
        <v>1838.7649790999999</v>
      </c>
      <c r="L45">
        <f>(Soybeans!L45*1000)*(36.7437)/1000000</f>
        <v>92.006224799999998</v>
      </c>
      <c r="M45">
        <f>Soybeans!M45</f>
        <v>13</v>
      </c>
      <c r="N45">
        <f>(Soybeans!N45*1000)*(36.7437)/1000000</f>
        <v>2345.7912953999994</v>
      </c>
      <c r="O45">
        <f>(Soybeans!O45*1000)*(36.7437)/1000000</f>
        <v>10410.225084</v>
      </c>
      <c r="P45">
        <f>Soybeans!P45</f>
        <v>7265892332</v>
      </c>
      <c r="Q45">
        <f>Soybeans!Q45</f>
        <v>317099</v>
      </c>
      <c r="R45">
        <f>Soybeans!R45</f>
        <v>78034892841179.203</v>
      </c>
      <c r="S45">
        <f>Soybeans!S45</f>
        <v>16880.683000000001</v>
      </c>
      <c r="T45">
        <f>Soybeans!T45</f>
        <v>95.781000000000006</v>
      </c>
      <c r="U45">
        <f>(Soybeans!U45*1000)*(36.7437)/1000000</f>
        <v>3477.3135368999997</v>
      </c>
      <c r="V45" s="11">
        <v>88.9</v>
      </c>
      <c r="W45" s="13">
        <v>100</v>
      </c>
    </row>
    <row r="46" spans="1:23" x14ac:dyDescent="0.3">
      <c r="A46">
        <v>2014</v>
      </c>
      <c r="B46">
        <f>Soybeans!B46</f>
        <v>99.960419972737625</v>
      </c>
      <c r="C46">
        <f>Soybeans!C46</f>
        <v>99.92897478739421</v>
      </c>
      <c r="D46" s="8">
        <f>(Soybeans!D46*1000)*(36.7437)/1000000</f>
        <v>92.006224799999998</v>
      </c>
      <c r="E46">
        <f>(Soybeans!E46*1000)*(36.7437)/1000000</f>
        <v>3928.0852484999996</v>
      </c>
      <c r="F46">
        <f>(Soybeans!F46*1000)*(36.7437)/1000000</f>
        <v>33.216304799999996</v>
      </c>
      <c r="G46">
        <f>(Soybeans!G46*1000)*(36.7437)/1000000</f>
        <v>4053.3077780999993</v>
      </c>
      <c r="H46">
        <f>(Soybeans!H46*1000)*(36.7437)/1000000</f>
        <v>1842.1821431999997</v>
      </c>
      <c r="I46">
        <f>(Soybeans!I46*1000)*(36.7437)/1000000</f>
        <v>1873.0101074999998</v>
      </c>
      <c r="J46">
        <f>(Soybeans!J46*1000)*(36.7437)/1000000</f>
        <v>147.48921179999999</v>
      </c>
      <c r="K46">
        <f>(Soybeans!K46*1000)*(36.7437)/1000000</f>
        <v>2020.4993192999998</v>
      </c>
      <c r="L46">
        <f>(Soybeans!L46*1000)*(36.7437)/1000000</f>
        <v>190.6263156</v>
      </c>
      <c r="M46">
        <f>Soybeans!M46</f>
        <v>10.1</v>
      </c>
      <c r="N46">
        <f>(Soybeans!N46*1000)*(36.7437)/1000000</f>
        <v>2914.1061032999996</v>
      </c>
      <c r="O46">
        <f>(Soybeans!O46*1000)*(36.7437)/1000000</f>
        <v>11811.0419028</v>
      </c>
      <c r="P46">
        <f>Soybeans!P46</f>
        <v>7354068030</v>
      </c>
      <c r="Q46">
        <f>Soybeans!Q46</f>
        <v>319601</v>
      </c>
      <c r="R46">
        <f>Soybeans!R46</f>
        <v>80054888775431</v>
      </c>
      <c r="S46">
        <f>Soybeans!S46</f>
        <v>17608.137999999999</v>
      </c>
      <c r="T46">
        <f>Soybeans!T46</f>
        <v>97.120999999999995</v>
      </c>
      <c r="U46">
        <f>(Soybeans!U46*1000)*(36.7437)/1000000</f>
        <v>3862.6814624999997</v>
      </c>
      <c r="V46" s="11">
        <v>90.9</v>
      </c>
      <c r="W46" s="13">
        <v>89.4</v>
      </c>
    </row>
    <row r="47" spans="1:23" x14ac:dyDescent="0.3">
      <c r="A47">
        <v>2015</v>
      </c>
      <c r="B47">
        <f>Soybeans!B47</f>
        <v>103.10752868652344</v>
      </c>
      <c r="C47">
        <f>Soybeans!C47</f>
        <v>103.52058601379395</v>
      </c>
      <c r="D47" s="8">
        <f>(Soybeans!D47*1000)*(36.7437)/1000000</f>
        <v>190.6263156</v>
      </c>
      <c r="E47">
        <f>(Soybeans!E47*1000)*(36.7437)/1000000</f>
        <v>3926.7624752999996</v>
      </c>
      <c r="F47">
        <f>(Soybeans!F47*1000)*(36.7437)/1000000</f>
        <v>23.5527117</v>
      </c>
      <c r="G47">
        <f>(Soybeans!G47*1000)*(36.7437)/1000000</f>
        <v>4140.9415025999997</v>
      </c>
      <c r="H47">
        <f>(Soybeans!H47*1000)*(36.7437)/1000000</f>
        <v>1942.6026752999999</v>
      </c>
      <c r="I47">
        <f>(Soybeans!I47*1000)*(36.7437)/1000000</f>
        <v>1886.2378394999998</v>
      </c>
      <c r="J47">
        <f>(Soybeans!J47*1000)*(36.7437)/1000000</f>
        <v>115.37521799999999</v>
      </c>
      <c r="K47">
        <f>(Soybeans!K47*1000)*(36.7437)/1000000</f>
        <v>2001.6130574999997</v>
      </c>
      <c r="L47">
        <f>(Soybeans!L47*1000)*(36.7437)/1000000</f>
        <v>196.72576979999999</v>
      </c>
      <c r="M47">
        <f>Soybeans!M47</f>
        <v>8.9499999999999993</v>
      </c>
      <c r="N47">
        <f>(Soybeans!N47*1000)*(36.7437)/1000000</f>
        <v>2928.2524277999996</v>
      </c>
      <c r="O47">
        <f>(Soybeans!O47*1000)*(36.7437)/1000000</f>
        <v>11613.6547464</v>
      </c>
      <c r="P47">
        <f>Soybeans!P47</f>
        <v>7441677465</v>
      </c>
      <c r="Q47">
        <f>Soybeans!Q47</f>
        <v>322113</v>
      </c>
      <c r="R47">
        <f>Soybeans!R47</f>
        <v>75621913961646.203</v>
      </c>
      <c r="S47">
        <f>Soybeans!S47</f>
        <v>18295.019</v>
      </c>
      <c r="T47">
        <f>Soybeans!T47</f>
        <v>97.299000000000007</v>
      </c>
      <c r="U47">
        <f>(Soybeans!U47*1000)*(36.7437)/1000000</f>
        <v>3944.2157327999998</v>
      </c>
      <c r="V47" s="11">
        <v>92.6</v>
      </c>
      <c r="W47" s="13">
        <v>48.5</v>
      </c>
    </row>
    <row r="48" spans="1:23" x14ac:dyDescent="0.3">
      <c r="A48">
        <v>2016</v>
      </c>
      <c r="B48">
        <f>Soybeans!B48</f>
        <v>103.89478556315105</v>
      </c>
      <c r="C48">
        <f>Soybeans!C48</f>
        <v>100.41135597229004</v>
      </c>
      <c r="D48" s="8">
        <f>(Soybeans!D48*1000)*(36.7437)/1000000</f>
        <v>196.72576979999999</v>
      </c>
      <c r="E48">
        <f>(Soybeans!E48*1000)*(36.7437)/1000000</f>
        <v>4296.4775847000001</v>
      </c>
      <c r="F48">
        <f>(Soybeans!F48*1000)*(36.7437)/1000000</f>
        <v>22.266682199999998</v>
      </c>
      <c r="G48">
        <f>(Soybeans!G48*1000)*(36.7437)/1000000</f>
        <v>4515.4700366999996</v>
      </c>
      <c r="H48">
        <f>(Soybeans!H48*1000)*(36.7437)/1000000</f>
        <v>2166.5555267999998</v>
      </c>
      <c r="I48">
        <f>(Soybeans!I48*1000)*(36.7437)/1000000</f>
        <v>1901.1925253999998</v>
      </c>
      <c r="J48">
        <f>(Soybeans!J48*1000)*(36.7437)/1000000</f>
        <v>146.12969489999998</v>
      </c>
      <c r="K48">
        <f>(Soybeans!K48*1000)*(36.7437)/1000000</f>
        <v>2047.3222202999998</v>
      </c>
      <c r="L48">
        <f>(Soybeans!L48*1000)*(36.7437)/1000000</f>
        <v>301.59228959999996</v>
      </c>
      <c r="M48">
        <f>Soybeans!M48</f>
        <v>9.4700000000000006</v>
      </c>
      <c r="N48">
        <f>(Soybeans!N48*1000)*(36.7437)/1000000</f>
        <v>3513.8735183999997</v>
      </c>
      <c r="O48">
        <f>(Soybeans!O48*1000)*(36.7437)/1000000</f>
        <v>12889.873678499998</v>
      </c>
      <c r="P48">
        <f>Soybeans!P48</f>
        <v>7528879985</v>
      </c>
      <c r="Q48">
        <f>Soybeans!Q48</f>
        <v>324609</v>
      </c>
      <c r="R48">
        <f>Soybeans!R48</f>
        <v>76831684012526.203</v>
      </c>
      <c r="S48">
        <f>Soybeans!S48</f>
        <v>18804.913</v>
      </c>
      <c r="T48">
        <f>Soybeans!T48</f>
        <v>98.284000000000006</v>
      </c>
      <c r="U48">
        <f>(Soybeans!U48*1000)*(36.7437)/1000000</f>
        <v>4213.8777470999994</v>
      </c>
      <c r="V48" s="11">
        <v>92.9</v>
      </c>
      <c r="W48" s="13">
        <v>80.3</v>
      </c>
    </row>
    <row r="49" spans="1:23" x14ac:dyDescent="0.3">
      <c r="A49">
        <v>2017</v>
      </c>
      <c r="B49">
        <f>Soybeans!B49</f>
        <v>103.23130671183269</v>
      </c>
      <c r="C49">
        <f>Soybeans!C49</f>
        <v>102.3015677134196</v>
      </c>
      <c r="D49" s="8">
        <f>(Soybeans!D49*1000)*(36.7437)/1000000</f>
        <v>301.59228959999996</v>
      </c>
      <c r="E49">
        <f>(Soybeans!E49*1000)*(36.7437)/1000000</f>
        <v>4411.6323405000003</v>
      </c>
      <c r="F49">
        <f>(Soybeans!F49*1000)*(36.7437)/1000000</f>
        <v>21.825757799999998</v>
      </c>
      <c r="G49">
        <f>(Soybeans!G49*1000)*(36.7437)/1000000</f>
        <v>4735.0503878999998</v>
      </c>
      <c r="H49">
        <f>(Soybeans!H49*1000)*(36.7437)/1000000</f>
        <v>2133.7434026999999</v>
      </c>
      <c r="I49">
        <f>(Soybeans!I49*1000)*(36.7437)/1000000</f>
        <v>2054.9281661999999</v>
      </c>
      <c r="J49">
        <f>(Soybeans!J49*1000)*(36.7437)/1000000</f>
        <v>108.28368389999999</v>
      </c>
      <c r="K49">
        <f>(Soybeans!K49*1000)*(36.7437)/1000000</f>
        <v>2163.2118501</v>
      </c>
      <c r="L49">
        <f>(Soybeans!L49*1000)*(36.7437)/1000000</f>
        <v>438.09513509999994</v>
      </c>
      <c r="M49">
        <f>Soybeans!M49</f>
        <v>9.33</v>
      </c>
      <c r="N49">
        <f>(Soybeans!N49*1000)*(36.7437)/1000000</f>
        <v>3664.9636127999997</v>
      </c>
      <c r="O49">
        <f>(Soybeans!O49*1000)*(36.7437)/1000000</f>
        <v>12626.311118399999</v>
      </c>
      <c r="P49">
        <f>Soybeans!P49</f>
        <v>7614523410</v>
      </c>
      <c r="Q49">
        <f>Soybeans!Q49</f>
        <v>326860</v>
      </c>
      <c r="R49">
        <f>Soybeans!R49</f>
        <v>81839102917044.703</v>
      </c>
      <c r="S49">
        <f>Soybeans!S49</f>
        <v>19612.102999999999</v>
      </c>
      <c r="T49">
        <f>Soybeans!T49</f>
        <v>100</v>
      </c>
      <c r="U49">
        <f>(Soybeans!U49*1000)*(36.7437)/1000000</f>
        <v>4296.9552527999995</v>
      </c>
      <c r="V49" s="11">
        <v>93.7</v>
      </c>
      <c r="W49" s="13">
        <v>118.2</v>
      </c>
    </row>
    <row r="50" spans="1:23" x14ac:dyDescent="0.3">
      <c r="A50">
        <v>2018</v>
      </c>
      <c r="B50">
        <f>Soybeans!B50</f>
        <v>104.58509063720703</v>
      </c>
      <c r="C50">
        <f>Soybeans!C50</f>
        <v>108.06281852722168</v>
      </c>
      <c r="D50" s="8">
        <f>(Soybeans!D50*1000)*(36.7437)/1000000</f>
        <v>438.09513509999994</v>
      </c>
      <c r="E50">
        <f>(Soybeans!E50*1000)*(36.7437)/1000000</f>
        <v>4428.1670055000004</v>
      </c>
      <c r="F50">
        <f>(Soybeans!F50*1000)*(36.7437)/1000000</f>
        <v>14.072837099999999</v>
      </c>
      <c r="G50">
        <f>(Soybeans!G50*1000)*(36.7437)/1000000</f>
        <v>4880.3349776999994</v>
      </c>
      <c r="H50">
        <f>(Soybeans!H50*1000)*(36.7437)/1000000</f>
        <v>1753.4461076999999</v>
      </c>
      <c r="I50">
        <f>(Soybeans!I50*1000)*(36.7437)/1000000</f>
        <v>2092.0025594999997</v>
      </c>
      <c r="J50">
        <f>(Soybeans!J50*1000)*(36.7437)/1000000</f>
        <v>109.8269193</v>
      </c>
      <c r="K50">
        <f>(Soybeans!K50*1000)*(36.7437)/1000000</f>
        <v>2201.8294787999998</v>
      </c>
      <c r="L50">
        <f>(Soybeans!L50*1000)*(36.7437)/1000000</f>
        <v>925.05939119999994</v>
      </c>
      <c r="M50">
        <f>Soybeans!M50</f>
        <v>8.48</v>
      </c>
      <c r="N50">
        <f>(Soybeans!N50*1000)*(36.7437)/1000000</f>
        <v>4197.9677249999995</v>
      </c>
      <c r="O50">
        <f>(Soybeans!O50*1000)*(36.7437)/1000000</f>
        <v>13354.534508699999</v>
      </c>
      <c r="P50">
        <f>Soybeans!P50</f>
        <v>7697233736</v>
      </c>
      <c r="Q50">
        <f>Soybeans!Q50</f>
        <v>328794</v>
      </c>
      <c r="R50">
        <f>Soybeans!R50</f>
        <v>87050964956078.406</v>
      </c>
      <c r="S50">
        <f>Soybeans!S50</f>
        <v>20656.516</v>
      </c>
      <c r="T50">
        <f>Soybeans!T50</f>
        <v>102.047</v>
      </c>
      <c r="U50">
        <f>(Soybeans!U50*1000)*(36.7437)/1000000</f>
        <v>3955.2755864999995</v>
      </c>
      <c r="V50" s="11">
        <v>95</v>
      </c>
      <c r="W50" s="13">
        <v>134.80000000000001</v>
      </c>
    </row>
    <row r="51" spans="1:23" x14ac:dyDescent="0.3">
      <c r="A51">
        <v>2019</v>
      </c>
      <c r="B51">
        <f>Soybeans!B51</f>
        <v>107.62516212463379</v>
      </c>
      <c r="C51">
        <f>Soybeans!C51</f>
        <v>112.25717480977376</v>
      </c>
      <c r="D51" s="8">
        <f>(Soybeans!D51*1000)*(36.7437)/1000000</f>
        <v>925.05939119999994</v>
      </c>
      <c r="E51">
        <f>(Soybeans!E51*1000)*(36.7437)/1000000</f>
        <v>3551.0581427999996</v>
      </c>
      <c r="F51">
        <f>(Soybeans!F51*1000)*(36.7437)/1000000</f>
        <v>15.3956103</v>
      </c>
      <c r="G51">
        <f>(Soybeans!G51*1000)*(36.7437)/1000000</f>
        <v>4491.5131442999991</v>
      </c>
      <c r="H51">
        <f>(Soybeans!H51*1000)*(36.7437)/1000000</f>
        <v>1682.8614599999999</v>
      </c>
      <c r="I51">
        <f>(Soybeans!I51*1000)*(36.7437)/1000000</f>
        <v>2164.571367</v>
      </c>
      <c r="J51">
        <f>(Soybeans!J51*1000)*(36.7437)/1000000</f>
        <v>105.52790639999999</v>
      </c>
      <c r="K51">
        <f>(Soybeans!K51*1000)*(36.7437)/1000000</f>
        <v>2270.0992733999997</v>
      </c>
      <c r="L51">
        <f>(Soybeans!L51*1000)*(36.7437)/1000000</f>
        <v>538.55241089999993</v>
      </c>
      <c r="M51">
        <f>Soybeans!M51</f>
        <v>8.57</v>
      </c>
      <c r="N51">
        <f>(Soybeans!N51*1000)*(36.7437)/1000000</f>
        <v>3497.9267525999999</v>
      </c>
      <c r="O51">
        <f>(Soybeans!O51*1000)*(36.7437)/1000000</f>
        <v>12556.351113599998</v>
      </c>
      <c r="P51">
        <f>Soybeans!P51</f>
        <v>7778008621</v>
      </c>
      <c r="Q51">
        <f>Soybeans!Q51</f>
        <v>330513</v>
      </c>
      <c r="R51">
        <f>Soybeans!R51</f>
        <v>88483262418196.5</v>
      </c>
      <c r="S51">
        <f>Soybeans!S51</f>
        <v>21539.982</v>
      </c>
      <c r="T51">
        <f>Soybeans!T51</f>
        <v>103.509</v>
      </c>
      <c r="U51">
        <f>(Soybeans!U51*1000)*(36.7437)/1000000</f>
        <v>3952.9607333999998</v>
      </c>
      <c r="V51" s="11">
        <v>96.8</v>
      </c>
      <c r="W51" s="13">
        <v>87.9</v>
      </c>
    </row>
    <row r="52" spans="1:23" x14ac:dyDescent="0.3">
      <c r="A52">
        <v>2020</v>
      </c>
      <c r="B52">
        <f>Soybeans!B52</f>
        <v>108.32800547281902</v>
      </c>
      <c r="C52">
        <f>Soybeans!C52</f>
        <v>110.50793647766113</v>
      </c>
      <c r="D52" s="8">
        <f>(Soybeans!D52*1000)*(36.7437)/1000000</f>
        <v>538.55241089999993</v>
      </c>
      <c r="E52">
        <f>(Soybeans!E52*1000)*(36.7437)/1000000</f>
        <v>4216.3028312999995</v>
      </c>
      <c r="F52">
        <f>(Soybeans!F52*1000)*(36.7437)/1000000</f>
        <v>19.804854299999995</v>
      </c>
      <c r="G52">
        <f>(Soybeans!G52*1000)*(36.7437)/1000000</f>
        <v>4774.6600964999998</v>
      </c>
      <c r="H52">
        <f>(Soybeans!H52*1000)*(36.7437)/1000000</f>
        <v>2265.7635167999997</v>
      </c>
      <c r="I52">
        <f>(Soybeans!I52*1000)*(36.7437)/1000000</f>
        <v>2140.5777309</v>
      </c>
      <c r="J52">
        <f>(Soybeans!J52*1000)*(36.7437)/1000000</f>
        <v>111.33341099999998</v>
      </c>
      <c r="K52">
        <f>(Soybeans!K52*1000)*(36.7437)/1000000</f>
        <v>2251.9111418999996</v>
      </c>
      <c r="L52">
        <f>(Soybeans!L52*1000)*(36.7437)/1000000</f>
        <v>256.9854378</v>
      </c>
      <c r="M52">
        <f>Soybeans!M52</f>
        <v>10.8</v>
      </c>
      <c r="N52">
        <f>(Soybeans!N52*1000)*(36.7437)/1000000</f>
        <v>3625.6845974999997</v>
      </c>
      <c r="O52">
        <f>(Soybeans!O52*1000)*(36.7437)/1000000</f>
        <v>13581.4268562</v>
      </c>
      <c r="P52">
        <f>Soybeans!P52</f>
        <v>7854748424</v>
      </c>
      <c r="Q52">
        <f>Soybeans!Q52</f>
        <v>331840</v>
      </c>
      <c r="R52">
        <f>Soybeans!R52</f>
        <v>85912761035231.203</v>
      </c>
      <c r="S52">
        <f>Soybeans!S52</f>
        <v>21375.281999999999</v>
      </c>
      <c r="T52">
        <f>Soybeans!T52</f>
        <v>104.666</v>
      </c>
      <c r="U52">
        <f>(Soybeans!U52*1000)*(36.7437)/1000000</f>
        <v>4517.6746586999998</v>
      </c>
      <c r="V52" s="11">
        <v>100</v>
      </c>
      <c r="W52" s="13">
        <v>100</v>
      </c>
    </row>
    <row r="53" spans="1:23" x14ac:dyDescent="0.3">
      <c r="A53">
        <v>2021</v>
      </c>
      <c r="B53">
        <f>Soybeans!B53</f>
        <v>119.30623626708984</v>
      </c>
      <c r="C53">
        <f>Soybeans!C53</f>
        <v>117.94894282023112</v>
      </c>
      <c r="D53" s="8">
        <f>(Soybeans!D53*1000)*(36.7437)/1000000</f>
        <v>256.9854378</v>
      </c>
      <c r="E53">
        <f>(Soybeans!E53*1000)*(36.7437)/1000000</f>
        <v>4464.5065247999992</v>
      </c>
      <c r="F53">
        <f>(Soybeans!F53*1000)*(36.7437)/1000000</f>
        <v>15.910022099999997</v>
      </c>
      <c r="G53">
        <f>(Soybeans!G53*1000)*(36.7437)/1000000</f>
        <v>4737.4019847</v>
      </c>
      <c r="H53">
        <f>(Soybeans!H53*1000)*(36.7437)/1000000</f>
        <v>2152.0785089999999</v>
      </c>
      <c r="I53">
        <f>(Soybeans!I53*1000)*(36.7437)/1000000</f>
        <v>2203.8871260000001</v>
      </c>
      <c r="J53">
        <f>(Soybeans!J53*1000)*(36.7437)/1000000</f>
        <v>107.03439809999999</v>
      </c>
      <c r="K53">
        <f>(Soybeans!K53*1000)*(36.7437)/1000000</f>
        <v>2310.9215240999997</v>
      </c>
      <c r="L53">
        <f>(Soybeans!L53*1000)*(36.7437)/1000000</f>
        <v>274.40195159999996</v>
      </c>
      <c r="M53">
        <f>Soybeans!M53</f>
        <v>13.3</v>
      </c>
      <c r="N53">
        <f>(Soybeans!N53*1000)*(36.7437)/1000000</f>
        <v>3436.6382609999996</v>
      </c>
      <c r="O53">
        <f>(Soybeans!O53*1000)*(36.7437)/1000000</f>
        <v>13247.500110599998</v>
      </c>
      <c r="P53">
        <f>Soybeans!P53</f>
        <v>7920514854</v>
      </c>
      <c r="Q53">
        <f>Soybeans!Q53</f>
        <v>332505</v>
      </c>
      <c r="R53">
        <f>Soybeans!R53</f>
        <v>98140475264975.906</v>
      </c>
      <c r="S53">
        <f>Soybeans!S53</f>
        <v>23725.646000000001</v>
      </c>
      <c r="T53">
        <f>Soybeans!T53</f>
        <v>108.973</v>
      </c>
      <c r="U53">
        <f>(Soybeans!U53*1000)*(36.7437)/1000000</f>
        <v>4463.0000330999992</v>
      </c>
      <c r="V53" s="11">
        <v>103.8</v>
      </c>
      <c r="W53" s="13">
        <v>378.8</v>
      </c>
    </row>
    <row r="54" spans="1:23" x14ac:dyDescent="0.3">
      <c r="A54">
        <v>2022</v>
      </c>
      <c r="B54">
        <f>Soybeans!B54</f>
        <v>117.78226661682129</v>
      </c>
      <c r="C54">
        <f>Soybeans!C54</f>
        <v>115.50069681803386</v>
      </c>
      <c r="D54" s="8">
        <f>(Soybeans!D54*1000)*(36.7437)/1000000</f>
        <v>274.40195159999996</v>
      </c>
      <c r="E54">
        <f>(Soybeans!E54*1000)*(36.7437)/1000000</f>
        <v>4270.3895576999994</v>
      </c>
      <c r="F54">
        <f>(Soybeans!F54*1000)*(36.7437)/1000000</f>
        <v>24.508047899999998</v>
      </c>
      <c r="G54">
        <f>(Soybeans!G54*1000)*(36.7437)/1000000</f>
        <v>4569.2995572</v>
      </c>
      <c r="H54">
        <f>(Soybeans!H54*1000)*(36.7437)/1000000</f>
        <v>1979.1626567999999</v>
      </c>
      <c r="I54">
        <f>(Soybeans!I54*1000)*(36.7437)/1000000</f>
        <v>2211.9339962999998</v>
      </c>
      <c r="J54">
        <f>(Soybeans!J54*1000)*(36.7437)/1000000</f>
        <v>114.0157011</v>
      </c>
      <c r="K54">
        <f>(Soybeans!K54*1000)*(36.7437)/1000000</f>
        <v>2325.9496973999994</v>
      </c>
      <c r="L54">
        <f>(Soybeans!L54*1000)*(36.7437)/1000000</f>
        <v>264.18720299999995</v>
      </c>
      <c r="M54">
        <f>Soybeans!M54</f>
        <v>14.2</v>
      </c>
      <c r="N54">
        <f>(Soybeans!N54*1000)*(36.7437)/1000000</f>
        <v>3739.8472733999997</v>
      </c>
      <c r="O54">
        <f>(Soybeans!O54*1000)*(36.7437)/1000000</f>
        <v>13902.346331999997</v>
      </c>
      <c r="P54">
        <f>Soybeans!P54</f>
        <v>7989545217</v>
      </c>
      <c r="Q54">
        <f>Soybeans!Q54</f>
        <v>334372</v>
      </c>
      <c r="R54">
        <f>Soybeans!R54</f>
        <v>102251524725531</v>
      </c>
      <c r="S54">
        <f>Soybeans!S54</f>
        <v>26054.614000000001</v>
      </c>
      <c r="T54">
        <f>Soybeans!T54</f>
        <v>116.1</v>
      </c>
      <c r="U54">
        <f>(Soybeans!U54*1000)*(36.7437)/1000000</f>
        <v>4305.1123541999996</v>
      </c>
      <c r="V54" s="11">
        <v>113.8</v>
      </c>
      <c r="W54" s="13">
        <v>395.5</v>
      </c>
    </row>
    <row r="55" spans="1:23" x14ac:dyDescent="0.3">
      <c r="A55">
        <v>2023</v>
      </c>
      <c r="B55">
        <f>Soybeans!B55</f>
        <v>121.21778996785481</v>
      </c>
      <c r="C55">
        <f>Soybeans!C55</f>
        <v>117.15745989481609</v>
      </c>
      <c r="D55" s="8">
        <f>(Soybeans!D55*1000)*(36.7437)/1000000</f>
        <v>264.18720299999995</v>
      </c>
      <c r="E55">
        <f>(Soybeans!E55*1000)*(36.7437)/1000000</f>
        <v>4162.0691300999997</v>
      </c>
      <c r="F55">
        <f>(Soybeans!F55*1000)*(36.7437)/1000000</f>
        <v>20.833677899999998</v>
      </c>
      <c r="G55">
        <f>(Soybeans!G55*1000)*(36.7437)/1000000</f>
        <v>4447.0900110000002</v>
      </c>
      <c r="H55">
        <f>(Soybeans!H55*1000)*(36.7437)/1000000</f>
        <v>1699.9840241999998</v>
      </c>
      <c r="I55">
        <f>(Soybeans!I55*1000)*(36.7437)/1000000</f>
        <v>2285.3111651999998</v>
      </c>
      <c r="J55">
        <f>(Soybeans!J55*1000)*(36.7437)/1000000</f>
        <v>119.38028129999999</v>
      </c>
      <c r="K55">
        <f>(Soybeans!K55*1000)*(36.7437)/1000000</f>
        <v>2404.6914465</v>
      </c>
      <c r="L55">
        <f>(Soybeans!L55*1000)*(36.7437)/1000000</f>
        <v>342.41454029999994</v>
      </c>
      <c r="M55">
        <f>Soybeans!M55</f>
        <v>12.4</v>
      </c>
      <c r="N55">
        <f>(Soybeans!N55*1000)*(36.7437)/1000000</f>
        <v>4228.4282523000002</v>
      </c>
      <c r="O55">
        <f>(Soybeans!O55*1000)*(36.7437)/1000000</f>
        <v>14563.292007599999</v>
      </c>
      <c r="P55">
        <f>Soybeans!P55</f>
        <v>8064057930</v>
      </c>
      <c r="Q55">
        <f>Soybeans!Q55</f>
        <v>337141</v>
      </c>
      <c r="R55">
        <f>Soybeans!R55</f>
        <v>106741647821064</v>
      </c>
      <c r="S55">
        <f>Soybeans!S55</f>
        <v>27811.517</v>
      </c>
      <c r="T55">
        <f>Soybeans!T55</f>
        <v>120.511</v>
      </c>
      <c r="U55">
        <f>(Soybeans!U55*1000)*(36.7437)/1000000</f>
        <v>4104.6754707</v>
      </c>
      <c r="V55" s="11">
        <v>120.2</v>
      </c>
      <c r="W55" s="13">
        <v>163.6</v>
      </c>
    </row>
    <row r="56" spans="1:23" x14ac:dyDescent="0.3">
      <c r="A56">
        <v>2024</v>
      </c>
      <c r="B56">
        <f>Soybeans!B56</f>
        <v>122.45605341593425</v>
      </c>
      <c r="C56">
        <f>Soybeans!C56</f>
        <v>115.30511792500813</v>
      </c>
      <c r="D56" s="8">
        <f>(Soybeans!D56*1000)*(36.7437)/1000000</f>
        <v>342.41454029999994</v>
      </c>
      <c r="E56">
        <f>(Soybeans!E56*1000)*(36.7437)/1000000</f>
        <v>4374.2272538999996</v>
      </c>
      <c r="F56">
        <f>(Soybeans!F56*1000)*(36.7437)/1000000</f>
        <v>28.990779299999996</v>
      </c>
      <c r="G56">
        <f>(Soybeans!G56*1000)*(36.7437)/1000000</f>
        <v>4745.6325735</v>
      </c>
      <c r="H56">
        <f>(Soybeans!H56*1000)*(36.7437)/1000000</f>
        <v>1882.2695198999998</v>
      </c>
      <c r="I56">
        <f>(Soybeans!I56*1000)*(36.7437)/1000000</f>
        <v>2445.1462601999997</v>
      </c>
      <c r="J56">
        <f>(Soybeans!J56*1000)*(36.7437)/1000000</f>
        <v>93.402485399999989</v>
      </c>
      <c r="K56">
        <f>(Soybeans!K56*1000)*(36.7437)/1000000</f>
        <v>2538.5487456000001</v>
      </c>
      <c r="L56">
        <f>(Soybeans!L56*1000)*(36.7437)/1000000</f>
        <v>324.81430799999998</v>
      </c>
      <c r="M56">
        <f>Soybeans!M56</f>
        <v>10</v>
      </c>
      <c r="N56">
        <f>(Soybeans!N56*1000)*(36.7437)/1000000</f>
        <v>4543.6524545999991</v>
      </c>
      <c r="O56">
        <f>(Soybeans!O56*1000)*(36.7437)/1000000</f>
        <v>15695.218429799999</v>
      </c>
      <c r="P56">
        <f>Soybeans!P56</f>
        <v>8141808945</v>
      </c>
      <c r="Q56">
        <f>Soybeans!Q56</f>
        <v>340212</v>
      </c>
      <c r="R56">
        <f>Soybeans!R56</f>
        <v>110982661180013</v>
      </c>
      <c r="S56">
        <f>Soybeans!S56</f>
        <v>29298.012999999999</v>
      </c>
      <c r="T56">
        <f>Soybeans!T56</f>
        <v>123.666</v>
      </c>
      <c r="U56">
        <f>(Soybeans!U56*1000)*(36.7437)/1000000</f>
        <v>4420.8182655000001</v>
      </c>
      <c r="V56" s="11">
        <v>122.9</v>
      </c>
      <c r="W56" s="13">
        <v>150</v>
      </c>
    </row>
    <row r="57" spans="1:23" x14ac:dyDescent="0.3">
      <c r="A57">
        <v>2025</v>
      </c>
      <c r="B57">
        <f>Soybeans!B57</f>
        <v>123.0113639831543</v>
      </c>
      <c r="C57">
        <f>Soybeans!C57</f>
        <v>117.66338221232097</v>
      </c>
      <c r="D57" s="8">
        <f>(Soybeans!D57*1000)*(36.7437)/1000000</f>
        <v>324.81430799999998</v>
      </c>
      <c r="E57">
        <f>(Soybeans!E57*1000)*(36.7437)/1000000</f>
        <v>4261.8650192999994</v>
      </c>
      <c r="F57">
        <f>(Soybeans!F57*1000)*(36.7437)/1000000</f>
        <v>19.988572799999996</v>
      </c>
      <c r="G57">
        <f>(Soybeans!G57*1000)*(36.7437)/1000000</f>
        <v>4606.6679000999993</v>
      </c>
      <c r="H57">
        <f>(Soybeans!H57*1000)*(36.7437)/1000000</f>
        <v>1574.9819568</v>
      </c>
      <c r="I57">
        <f>(Soybeans!I57*1000)*(36.7437)/1000000</f>
        <v>2570.0013527999995</v>
      </c>
      <c r="J57">
        <f>(Soybeans!J57*1000)*(36.7437)/1000000</f>
        <v>111.9947976</v>
      </c>
      <c r="K57">
        <f>(Soybeans!K57*1000)*(36.7437)/1000000</f>
        <v>2681.9961503999998</v>
      </c>
      <c r="L57">
        <f>(Soybeans!L57*1000)*(36.7437)/1000000</f>
        <v>349.68979289999999</v>
      </c>
      <c r="M57">
        <f>Soybeans!M57</f>
        <v>10.199999999999999</v>
      </c>
      <c r="N57">
        <f>(Soybeans!N57*1000)*(36.7437)/1000000</f>
        <v>4611.848761799999</v>
      </c>
      <c r="O57">
        <f>(Soybeans!O57*1000)*(36.7437)/1000000</f>
        <v>15732.880722299999</v>
      </c>
      <c r="P57">
        <f>Soybeans!P57</f>
        <v>8213574075.25</v>
      </c>
      <c r="Q57">
        <f>Soybeans!Q57</f>
        <v>342305</v>
      </c>
      <c r="R57">
        <f>Soybeans!R57</f>
        <v>117250136216208.45</v>
      </c>
      <c r="S57">
        <f>Soybeans!S57</f>
        <v>31278.695749999999</v>
      </c>
      <c r="T57">
        <f>Soybeans!T57</f>
        <v>128.416</v>
      </c>
      <c r="U57">
        <f>(Soybeans!U57*1000)*(36.7437)/1000000</f>
        <v>4256.9781071999996</v>
      </c>
      <c r="V57" s="10">
        <v>125.30000000000001</v>
      </c>
      <c r="W57" s="14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1FBA-2CC2-E64C-A7B0-839B5215A43E}">
  <dimension ref="A1:W57"/>
  <sheetViews>
    <sheetView topLeftCell="O1" workbookViewId="0">
      <selection activeCell="W1" sqref="W1:W57"/>
    </sheetView>
  </sheetViews>
  <sheetFormatPr defaultColWidth="11.19921875" defaultRowHeight="15.6" x14ac:dyDescent="0.3"/>
  <sheetData>
    <row r="1" spans="1:23" ht="62.4" x14ac:dyDescent="0.3">
      <c r="A1" t="s">
        <v>0</v>
      </c>
      <c r="B1" s="2" t="s">
        <v>10</v>
      </c>
      <c r="C1" s="2" t="s">
        <v>11</v>
      </c>
      <c r="D1" t="s">
        <v>1</v>
      </c>
      <c r="E1" t="s">
        <v>2</v>
      </c>
      <c r="F1" t="s">
        <v>3</v>
      </c>
      <c r="G1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t="s">
        <v>9</v>
      </c>
      <c r="M1" t="s">
        <v>15</v>
      </c>
      <c r="N1" t="s">
        <v>13</v>
      </c>
      <c r="O1" t="s">
        <v>14</v>
      </c>
      <c r="P1" t="s">
        <v>19</v>
      </c>
      <c r="Q1" t="s">
        <v>18</v>
      </c>
      <c r="R1" t="s">
        <v>17</v>
      </c>
      <c r="S1" t="s">
        <v>20</v>
      </c>
      <c r="T1" t="s">
        <v>16</v>
      </c>
      <c r="U1" t="s">
        <v>12</v>
      </c>
      <c r="V1" s="9" t="s">
        <v>23</v>
      </c>
      <c r="W1" s="21" t="s">
        <v>24</v>
      </c>
    </row>
    <row r="2" spans="1:23" x14ac:dyDescent="0.3">
      <c r="A2">
        <v>1970</v>
      </c>
      <c r="B2">
        <f>Corn!B2</f>
        <v>96.27996826171875</v>
      </c>
      <c r="C2">
        <f>Corn!C2</f>
        <v>75.531028747558594</v>
      </c>
      <c r="D2">
        <f>(Corn!D2*1000)*(39.368)/1000000</f>
        <v>1005.183144</v>
      </c>
      <c r="E2">
        <f>(Corn!E2*1000)*(39.368)/1000000</f>
        <v>4152.2216959999996</v>
      </c>
      <c r="F2">
        <f>(Corn!F2*1000)*(39.368)/1000000</f>
        <v>4.015536</v>
      </c>
      <c r="G2">
        <f>(Corn!G2*1000)*(39.368)/1000000</f>
        <v>5161.420376</v>
      </c>
      <c r="H2">
        <f>(Corn!H2*1000)*(39.368)/1000000</f>
        <v>506.036272</v>
      </c>
      <c r="I2">
        <f>(Corn!I2*1000)*(39.368)/1000000</f>
        <v>3594.731448</v>
      </c>
      <c r="J2">
        <f>(Corn!J2*1000)*(39.368)/1000000</f>
        <v>397.695536</v>
      </c>
      <c r="K2">
        <f>(Corn!K2*1000)*(39.368)/1000000</f>
        <v>3992.4269840000002</v>
      </c>
      <c r="L2">
        <f>(Corn!L2*1000)*(39.368)/1000000</f>
        <v>662.95712000000003</v>
      </c>
      <c r="M2">
        <f>Corn!M2</f>
        <v>1.33</v>
      </c>
      <c r="N2">
        <f>(Corn!N2*1000)*(39.368)/1000000</f>
        <v>1423.074464</v>
      </c>
      <c r="O2">
        <f>(Corn!O2*1000)*(39.368)/1000000</f>
        <v>10553.694704</v>
      </c>
      <c r="P2">
        <f>Corn!P2</f>
        <v>3680589045</v>
      </c>
      <c r="Q2">
        <f>Corn!Q2</f>
        <v>205089</v>
      </c>
      <c r="R2">
        <f>Corn!R2</f>
        <v>3004300000000</v>
      </c>
      <c r="S2">
        <f>Corn!S2</f>
        <v>1073.3109999999999</v>
      </c>
      <c r="T2">
        <f>Corn!T2</f>
        <v>19.765999999999998</v>
      </c>
      <c r="U2">
        <f>(Corn!U2*1000)*(39.368)/1000000</f>
        <v>4498.463256</v>
      </c>
      <c r="V2" s="11">
        <v>15</v>
      </c>
      <c r="W2" s="22">
        <v>306.10000000000002</v>
      </c>
    </row>
    <row r="3" spans="1:23" x14ac:dyDescent="0.3">
      <c r="A3">
        <v>1971</v>
      </c>
      <c r="B3">
        <f>Corn!B3</f>
        <v>91.949569702148438</v>
      </c>
      <c r="C3">
        <f>Corn!C3</f>
        <v>69.234031677246094</v>
      </c>
      <c r="D3">
        <f>(Corn!D3*1000)*(39.368)/1000000</f>
        <v>662.95712000000003</v>
      </c>
      <c r="E3">
        <f>(Corn!E3*1000)*(39.368)/1000000</f>
        <v>5646.2372960000002</v>
      </c>
      <c r="F3">
        <f>(Corn!F3*1000)*(39.368)/1000000</f>
        <v>1.259776</v>
      </c>
      <c r="G3">
        <f>(Corn!G3*1000)*(39.368)/1000000</f>
        <v>6310.4541920000001</v>
      </c>
      <c r="H3">
        <f>(Corn!H3*1000)*(39.368)/1000000</f>
        <v>782.16342399999996</v>
      </c>
      <c r="I3">
        <f>(Corn!I3*1000)*(39.368)/1000000</f>
        <v>4001.206048</v>
      </c>
      <c r="J3">
        <f>(Corn!J3*1000)*(39.368)/1000000</f>
        <v>401.15992</v>
      </c>
      <c r="K3">
        <f>(Corn!K3*1000)*(39.368)/1000000</f>
        <v>4402.3659680000001</v>
      </c>
      <c r="L3">
        <f>(Corn!L3*1000)*(39.368)/1000000</f>
        <v>1125.9248</v>
      </c>
      <c r="M3">
        <f>Corn!M3</f>
        <v>1.08</v>
      </c>
      <c r="N3">
        <f>(Corn!N3*1000)*(39.368)/1000000</f>
        <v>1929.8980959999999</v>
      </c>
      <c r="O3">
        <f>(Corn!O3*1000)*(39.368)/1000000</f>
        <v>12145.028</v>
      </c>
      <c r="P3">
        <f>Corn!P3</f>
        <v>3758613546</v>
      </c>
      <c r="Q3">
        <f>Corn!Q3</f>
        <v>207692</v>
      </c>
      <c r="R3">
        <f>Corn!R3</f>
        <v>3319900000000</v>
      </c>
      <c r="S3">
        <f>Corn!S3</f>
        <v>1164.8499999999999</v>
      </c>
      <c r="T3">
        <f>Corn!T3</f>
        <v>20.605</v>
      </c>
      <c r="U3">
        <f>(Corn!U3*1000)*(39.368)/1000000</f>
        <v>5184.5293920000004</v>
      </c>
      <c r="V3" s="11">
        <v>15.5</v>
      </c>
      <c r="W3" s="22">
        <v>289.39999999999998</v>
      </c>
    </row>
    <row r="4" spans="1:23" x14ac:dyDescent="0.3">
      <c r="A4">
        <v>1972</v>
      </c>
      <c r="B4">
        <f>Corn!B4</f>
        <v>85.741081237792969</v>
      </c>
      <c r="C4">
        <f>Corn!C4</f>
        <v>60.2574462890625</v>
      </c>
      <c r="D4">
        <f>(Corn!D4*1000)*(39.368)/1000000</f>
        <v>1125.9248</v>
      </c>
      <c r="E4">
        <f>(Corn!E4*1000)*(39.368)/1000000</f>
        <v>5579.7841120000003</v>
      </c>
      <c r="F4">
        <f>(Corn!F4*1000)*(39.368)/1000000</f>
        <v>0.94483200000000001</v>
      </c>
      <c r="G4">
        <f>(Corn!G4*1000)*(39.368)/1000000</f>
        <v>6706.6537440000002</v>
      </c>
      <c r="H4">
        <f>(Corn!H4*1000)*(39.368)/1000000</f>
        <v>1241.5092480000001</v>
      </c>
      <c r="I4">
        <f>(Corn!I4*1000)*(39.368)/1000000</f>
        <v>4315.3233200000004</v>
      </c>
      <c r="J4">
        <f>(Corn!J4*1000)*(39.368)/1000000</f>
        <v>441.9058</v>
      </c>
      <c r="K4">
        <f>(Corn!K4*1000)*(39.368)/1000000</f>
        <v>4757.22912</v>
      </c>
      <c r="L4">
        <f>(Corn!L4*1000)*(39.368)/1000000</f>
        <v>707.91537600000004</v>
      </c>
      <c r="M4">
        <f>Corn!M4</f>
        <v>1.57</v>
      </c>
      <c r="N4">
        <f>(Corn!N4*1000)*(39.368)/1000000</f>
        <v>1496.6138880000001</v>
      </c>
      <c r="O4">
        <f>(Corn!O4*1000)*(39.368)/1000000</f>
        <v>11867.365496</v>
      </c>
      <c r="P4">
        <f>Corn!P4</f>
        <v>3834446322</v>
      </c>
      <c r="Q4">
        <f>Corn!Q4</f>
        <v>209924</v>
      </c>
      <c r="R4">
        <f>Corn!R4</f>
        <v>3834200000000</v>
      </c>
      <c r="S4">
        <f>Corn!S4</f>
        <v>1279.1120000000001</v>
      </c>
      <c r="T4">
        <f>Corn!T4</f>
        <v>21.308</v>
      </c>
      <c r="U4">
        <f>(Corn!U4*1000)*(39.368)/1000000</f>
        <v>5998.7383680000003</v>
      </c>
      <c r="V4" s="11">
        <v>16.2</v>
      </c>
      <c r="W4" s="22">
        <v>269.7</v>
      </c>
    </row>
    <row r="5" spans="1:23" x14ac:dyDescent="0.3">
      <c r="A5">
        <v>1973</v>
      </c>
      <c r="B5">
        <f>Corn!B5</f>
        <v>81.385787963867188</v>
      </c>
      <c r="C5">
        <f>Corn!C5</f>
        <v>59.529338836669922</v>
      </c>
      <c r="D5">
        <f>(Corn!D5*1000)*(39.368)/1000000</f>
        <v>707.91537600000004</v>
      </c>
      <c r="E5">
        <f>(Corn!E5*1000)*(39.368)/1000000</f>
        <v>5670.6848239999999</v>
      </c>
      <c r="F5">
        <f>(Corn!F5*1000)*(39.368)/1000000</f>
        <v>0.98419999999999996</v>
      </c>
      <c r="G5">
        <f>(Corn!G5*1000)*(39.368)/1000000</f>
        <v>6379.5843999999997</v>
      </c>
      <c r="H5">
        <f>(Corn!H5*1000)*(39.368)/1000000</f>
        <v>1229.935056</v>
      </c>
      <c r="I5">
        <f>(Corn!I5*1000)*(39.368)/1000000</f>
        <v>4204.817344</v>
      </c>
      <c r="J5">
        <f>(Corn!J5*1000)*(39.368)/1000000</f>
        <v>460.92054400000001</v>
      </c>
      <c r="K5">
        <f>(Corn!K5*1000)*(39.368)/1000000</f>
        <v>4665.7378879999997</v>
      </c>
      <c r="L5">
        <f>(Corn!L5*1000)*(39.368)/1000000</f>
        <v>483.91145599999999</v>
      </c>
      <c r="M5">
        <f>Corn!M5</f>
        <v>2.5499999999999998</v>
      </c>
      <c r="N5">
        <f>(Corn!N5*1000)*(39.368)/1000000</f>
        <v>1524.3289600000001</v>
      </c>
      <c r="O5">
        <f>(Corn!O5*1000)*(39.368)/1000000</f>
        <v>13012.029463999999</v>
      </c>
      <c r="P5">
        <f>Corn!P5</f>
        <v>3911068458</v>
      </c>
      <c r="Q5">
        <f>Corn!Q5</f>
        <v>211939</v>
      </c>
      <c r="R5">
        <f>Corn!R5</f>
        <v>4688600000000</v>
      </c>
      <c r="S5">
        <f>Corn!S5</f>
        <v>1425.376</v>
      </c>
      <c r="T5">
        <f>Corn!T5</f>
        <v>22.456</v>
      </c>
      <c r="U5">
        <f>(Corn!U5*1000)*(39.368)/1000000</f>
        <v>5895.6729439999999</v>
      </c>
      <c r="V5" s="11">
        <v>18.3</v>
      </c>
      <c r="W5" s="22">
        <v>412.1</v>
      </c>
    </row>
    <row r="6" spans="1:23" x14ac:dyDescent="0.3">
      <c r="A6">
        <v>1974</v>
      </c>
      <c r="B6">
        <f>Corn!B6</f>
        <v>81.354316711425781</v>
      </c>
      <c r="C6">
        <f>Corn!C6</f>
        <v>61.88629150390625</v>
      </c>
      <c r="D6">
        <f>(Corn!D6*1000)*(39.368)/1000000</f>
        <v>483.91145599999999</v>
      </c>
      <c r="E6">
        <f>(Corn!E6*1000)*(39.368)/1000000</f>
        <v>4701.3659280000002</v>
      </c>
      <c r="F6">
        <f>(Corn!F6*1000)*(39.368)/1000000</f>
        <v>2.007768</v>
      </c>
      <c r="G6">
        <f>(Corn!G6*1000)*(39.368)/1000000</f>
        <v>5187.2851520000004</v>
      </c>
      <c r="H6">
        <f>(Corn!H6*1000)*(39.368)/1000000</f>
        <v>1148.9944479999999</v>
      </c>
      <c r="I6">
        <f>(Corn!I6*1000)*(39.368)/1000000</f>
        <v>3028.5802399999998</v>
      </c>
      <c r="J6">
        <f>(Corn!J6*1000)*(39.368)/1000000</f>
        <v>451.70843200000002</v>
      </c>
      <c r="K6">
        <f>(Corn!K6*1000)*(39.368)/1000000</f>
        <v>3480.2886720000001</v>
      </c>
      <c r="L6">
        <f>(Corn!L6*1000)*(39.368)/1000000</f>
        <v>558.00203199999999</v>
      </c>
      <c r="M6">
        <f>Corn!M6</f>
        <v>3.02</v>
      </c>
      <c r="N6">
        <f>(Corn!N6*1000)*(39.368)/1000000</f>
        <v>1798.6845519999999</v>
      </c>
      <c r="O6">
        <f>(Corn!O6*1000)*(39.368)/1000000</f>
        <v>11801.778408</v>
      </c>
      <c r="P6">
        <f>Corn!P6</f>
        <v>3987294240</v>
      </c>
      <c r="Q6">
        <f>Corn!Q6</f>
        <v>213898</v>
      </c>
      <c r="R6">
        <f>Corn!R6</f>
        <v>5419500000000</v>
      </c>
      <c r="S6">
        <f>Corn!S6</f>
        <v>1545.2429999999999</v>
      </c>
      <c r="T6">
        <f>Corn!T6</f>
        <v>24.792999999999999</v>
      </c>
      <c r="U6">
        <f>(Corn!U6*1000)*(39.368)/1000000</f>
        <v>4629.2831200000001</v>
      </c>
      <c r="V6" s="11">
        <v>20.8</v>
      </c>
      <c r="W6" s="22">
        <v>639.4</v>
      </c>
    </row>
    <row r="7" spans="1:23" x14ac:dyDescent="0.3">
      <c r="A7">
        <v>1975</v>
      </c>
      <c r="B7">
        <f>Corn!B7</f>
        <v>82.211517333984375</v>
      </c>
      <c r="C7">
        <f>Corn!C7</f>
        <v>63.680122375488281</v>
      </c>
      <c r="D7">
        <f>(Corn!D7*1000)*(39.368)/1000000</f>
        <v>558.00203199999999</v>
      </c>
      <c r="E7">
        <f>(Corn!E7*1000)*(39.368)/1000000</f>
        <v>5840.7152159999996</v>
      </c>
      <c r="F7">
        <f>(Corn!F7*1000)*(39.368)/1000000</f>
        <v>1.495984</v>
      </c>
      <c r="G7">
        <f>(Corn!G7*1000)*(39.368)/1000000</f>
        <v>6400.2132320000001</v>
      </c>
      <c r="H7">
        <f>(Corn!H7*1000)*(39.368)/1000000</f>
        <v>1664.4790399999999</v>
      </c>
      <c r="I7">
        <f>(Corn!I7*1000)*(39.368)/1000000</f>
        <v>3581.7400080000002</v>
      </c>
      <c r="J7">
        <f>(Corn!J7*1000)*(39.368)/1000000</f>
        <v>520.79927199999997</v>
      </c>
      <c r="K7">
        <f>(Corn!K7*1000)*(39.368)/1000000</f>
        <v>4102.53928</v>
      </c>
      <c r="L7">
        <f>(Corn!L7*1000)*(39.368)/1000000</f>
        <v>633.19491200000004</v>
      </c>
      <c r="M7">
        <f>Corn!M7</f>
        <v>2.54</v>
      </c>
      <c r="N7">
        <f>(Corn!N7*1000)*(39.368)/1000000</f>
        <v>2066.6231600000001</v>
      </c>
      <c r="O7">
        <f>(Corn!O7*1000)*(39.368)/1000000</f>
        <v>13354.216119999999</v>
      </c>
      <c r="P7">
        <f>Corn!P7</f>
        <v>4062070771</v>
      </c>
      <c r="Q7">
        <f>Corn!Q7</f>
        <v>215981</v>
      </c>
      <c r="R7">
        <f>Corn!R7</f>
        <v>6035100000000</v>
      </c>
      <c r="S7">
        <f>Corn!S7</f>
        <v>1684.905</v>
      </c>
      <c r="T7">
        <f>Corn!T7</f>
        <v>26.86</v>
      </c>
      <c r="U7">
        <f>(Corn!U7*1000)*(39.368)/1000000</f>
        <v>5767.0183200000001</v>
      </c>
      <c r="V7" s="11">
        <v>22.6</v>
      </c>
      <c r="W7" s="22">
        <v>448.5</v>
      </c>
    </row>
    <row r="8" spans="1:23" x14ac:dyDescent="0.3">
      <c r="A8">
        <v>1976</v>
      </c>
      <c r="B8">
        <f>Corn!B8</f>
        <v>82.846267700195313</v>
      </c>
      <c r="C8">
        <f>Corn!C8</f>
        <v>62.98223876953125</v>
      </c>
      <c r="D8">
        <f>(Corn!D8*1000)*(39.368)/1000000</f>
        <v>633.19491200000004</v>
      </c>
      <c r="E8">
        <f>(Corn!E8*1000)*(39.368)/1000000</f>
        <v>6289.1167359999999</v>
      </c>
      <c r="F8">
        <f>(Corn!F8*1000)*(39.368)/1000000</f>
        <v>2.4408159999999999</v>
      </c>
      <c r="G8">
        <f>(Corn!G8*1000)*(39.368)/1000000</f>
        <v>6924.7524640000001</v>
      </c>
      <c r="H8">
        <f>(Corn!H8*1000)*(39.368)/1000000</f>
        <v>1645.1099839999999</v>
      </c>
      <c r="I8">
        <f>(Corn!I8*1000)*(39.368)/1000000</f>
        <v>3601.8570559999998</v>
      </c>
      <c r="J8">
        <f>(Corn!J8*1000)*(39.368)/1000000</f>
        <v>542.17609600000003</v>
      </c>
      <c r="K8">
        <f>(Corn!K8*1000)*(39.368)/1000000</f>
        <v>4144.033152</v>
      </c>
      <c r="L8">
        <f>(Corn!L8*1000)*(39.368)/1000000</f>
        <v>1135.609328</v>
      </c>
      <c r="M8">
        <f>Corn!M8</f>
        <v>2.15</v>
      </c>
      <c r="N8">
        <f>(Corn!N8*1000)*(39.368)/1000000</f>
        <v>2690.2910160000001</v>
      </c>
      <c r="O8">
        <f>(Corn!O8*1000)*(39.368)/1000000</f>
        <v>14020.51952</v>
      </c>
      <c r="P8">
        <f>Corn!P8</f>
        <v>4135758539</v>
      </c>
      <c r="Q8">
        <f>Corn!Q8</f>
        <v>218086</v>
      </c>
      <c r="R8">
        <f>Corn!R8</f>
        <v>6560200000000</v>
      </c>
      <c r="S8">
        <f>Corn!S8</f>
        <v>1873.413</v>
      </c>
      <c r="T8">
        <f>Corn!T8</f>
        <v>28.332999999999998</v>
      </c>
      <c r="U8">
        <f>(Corn!U8*1000)*(39.368)/1000000</f>
        <v>5789.1431359999997</v>
      </c>
      <c r="V8" s="11">
        <v>23.3</v>
      </c>
      <c r="W8" s="22">
        <v>319.7</v>
      </c>
    </row>
    <row r="9" spans="1:23" x14ac:dyDescent="0.3">
      <c r="A9">
        <v>1977</v>
      </c>
      <c r="B9">
        <f>Corn!B9</f>
        <v>76.637420654296875</v>
      </c>
      <c r="C9">
        <f>Corn!C9</f>
        <v>58.508747100830078</v>
      </c>
      <c r="D9">
        <f>(Corn!D9*1000)*(39.368)/1000000</f>
        <v>1135.609328</v>
      </c>
      <c r="E9">
        <f>(Corn!E9*1000)*(39.368)/1000000</f>
        <v>6505.0108479999999</v>
      </c>
      <c r="F9">
        <f>(Corn!F9*1000)*(39.368)/1000000</f>
        <v>2.4014479999999998</v>
      </c>
      <c r="G9">
        <f>(Corn!G9*1000)*(39.368)/1000000</f>
        <v>7643.021624</v>
      </c>
      <c r="H9">
        <f>(Corn!H9*1000)*(39.368)/1000000</f>
        <v>1896.3959279999999</v>
      </c>
      <c r="I9">
        <f>(Corn!I9*1000)*(39.368)/1000000</f>
        <v>3729.7243199999998</v>
      </c>
      <c r="J9">
        <f>(Corn!J9*1000)*(39.368)/1000000</f>
        <v>580.99294399999997</v>
      </c>
      <c r="K9">
        <f>(Corn!K9*1000)*(39.368)/1000000</f>
        <v>4310.7172639999999</v>
      </c>
      <c r="L9">
        <f>(Corn!L9*1000)*(39.368)/1000000</f>
        <v>1435.9084319999999</v>
      </c>
      <c r="M9">
        <f>Corn!M9</f>
        <v>2.02</v>
      </c>
      <c r="N9">
        <f>(Corn!N9*1000)*(39.368)/1000000</f>
        <v>3043.4219760000001</v>
      </c>
      <c r="O9">
        <f>(Corn!O9*1000)*(39.368)/1000000</f>
        <v>14386.681288</v>
      </c>
      <c r="P9">
        <f>Corn!P9</f>
        <v>4208958804</v>
      </c>
      <c r="Q9">
        <f>Corn!Q9</f>
        <v>220289</v>
      </c>
      <c r="R9">
        <f>Corn!R9</f>
        <v>7416400000000</v>
      </c>
      <c r="S9">
        <f>Corn!S9</f>
        <v>2081.8249999999998</v>
      </c>
      <c r="T9">
        <f>Corn!T9</f>
        <v>30.175999999999998</v>
      </c>
      <c r="U9">
        <f>(Corn!U9*1000)*(39.368)/1000000</f>
        <v>6207.1131919999998</v>
      </c>
      <c r="V9" s="11">
        <v>24.7</v>
      </c>
      <c r="W9" s="22">
        <v>398.5</v>
      </c>
    </row>
    <row r="10" spans="1:23" x14ac:dyDescent="0.3">
      <c r="A10">
        <v>1978</v>
      </c>
      <c r="B10">
        <f>Corn!B10</f>
        <v>79.017974853515625</v>
      </c>
      <c r="C10">
        <f>Corn!C10</f>
        <v>58.037460327148438</v>
      </c>
      <c r="D10">
        <f>(Corn!D10*1000)*(39.368)/1000000</f>
        <v>1435.9084319999999</v>
      </c>
      <c r="E10">
        <f>(Corn!E10*1000)*(39.368)/1000000</f>
        <v>7267.8839520000001</v>
      </c>
      <c r="F10">
        <f>(Corn!F10*1000)*(39.368)/1000000</f>
        <v>1.141672</v>
      </c>
      <c r="G10">
        <f>(Corn!G10*1000)*(39.368)/1000000</f>
        <v>8704.9340560000001</v>
      </c>
      <c r="H10">
        <f>(Corn!H10*1000)*(39.368)/1000000</f>
        <v>2113.1167679999999</v>
      </c>
      <c r="I10">
        <f>(Corn!I10*1000)*(39.368)/1000000</f>
        <v>4274.3412319999998</v>
      </c>
      <c r="J10">
        <f>(Corn!J10*1000)*(39.368)/1000000</f>
        <v>607.99939199999994</v>
      </c>
      <c r="K10">
        <f>(Corn!K10*1000)*(39.368)/1000000</f>
        <v>4882.3406240000004</v>
      </c>
      <c r="L10">
        <f>(Corn!L10*1000)*(39.368)/1000000</f>
        <v>1709.476664</v>
      </c>
      <c r="M10">
        <f>Corn!M10</f>
        <v>2.25</v>
      </c>
      <c r="N10">
        <f>(Corn!N10*1000)*(39.368)/1000000</f>
        <v>3597.4478399999998</v>
      </c>
      <c r="O10">
        <f>(Corn!O10*1000)*(39.368)/1000000</f>
        <v>15436.980159999999</v>
      </c>
      <c r="P10">
        <f>Corn!P10</f>
        <v>4283431043</v>
      </c>
      <c r="Q10">
        <f>Corn!Q10</f>
        <v>222629</v>
      </c>
      <c r="R10">
        <f>Corn!R10</f>
        <v>8779700000000</v>
      </c>
      <c r="S10">
        <f>Corn!S10</f>
        <v>2351.5990000000002</v>
      </c>
      <c r="T10">
        <f>Corn!T10</f>
        <v>32.276000000000003</v>
      </c>
      <c r="U10">
        <f>(Corn!U10*1000)*(39.368)/1000000</f>
        <v>6995.4573920000003</v>
      </c>
      <c r="V10" s="11">
        <v>27.1</v>
      </c>
      <c r="W10" s="22">
        <v>442.4</v>
      </c>
    </row>
    <row r="11" spans="1:23" x14ac:dyDescent="0.3">
      <c r="A11">
        <v>1979</v>
      </c>
      <c r="B11">
        <f>Corn!B11</f>
        <v>79.596054077148438</v>
      </c>
      <c r="C11">
        <f>Corn!C11</f>
        <v>58.580295562744141</v>
      </c>
      <c r="D11">
        <f>(Corn!D11*1000)*(39.368)/1000000</f>
        <v>1709.476664</v>
      </c>
      <c r="E11">
        <f>(Corn!E11*1000)*(39.368)/1000000</f>
        <v>7928.0853120000002</v>
      </c>
      <c r="F11">
        <f>(Corn!F11*1000)*(39.368)/1000000</f>
        <v>0.70862400000000003</v>
      </c>
      <c r="G11">
        <f>(Corn!G11*1000)*(39.368)/1000000</f>
        <v>9638.2705999999998</v>
      </c>
      <c r="H11">
        <f>(Corn!H11*1000)*(39.368)/1000000</f>
        <v>2401.4873680000001</v>
      </c>
      <c r="I11">
        <f>(Corn!I11*1000)*(39.368)/1000000</f>
        <v>4563.0267759999997</v>
      </c>
      <c r="J11">
        <f>(Corn!J11*1000)*(39.368)/1000000</f>
        <v>639.45442400000002</v>
      </c>
      <c r="K11">
        <f>(Corn!K11*1000)*(39.368)/1000000</f>
        <v>5202.4812000000002</v>
      </c>
      <c r="L11">
        <f>(Corn!L11*1000)*(39.368)/1000000</f>
        <v>2034.3020320000001</v>
      </c>
      <c r="M11">
        <f>Corn!M11</f>
        <v>2.52</v>
      </c>
      <c r="N11">
        <f>(Corn!N11*1000)*(39.368)/1000000</f>
        <v>4375.9500399999997</v>
      </c>
      <c r="O11">
        <f>(Corn!O11*1000)*(39.368)/1000000</f>
        <v>16753.682288</v>
      </c>
      <c r="P11">
        <f>Corn!P11</f>
        <v>4360056401</v>
      </c>
      <c r="Q11">
        <f>Corn!Q11</f>
        <v>225106</v>
      </c>
      <c r="R11">
        <f>Corn!R11</f>
        <v>10155462903237.9</v>
      </c>
      <c r="S11">
        <f>Corn!S11</f>
        <v>2627.326</v>
      </c>
      <c r="T11">
        <f>Corn!T11</f>
        <v>35.143000000000001</v>
      </c>
      <c r="U11">
        <f>(Corn!U11*1000)*(39.368)/1000000</f>
        <v>7603.9685680000002</v>
      </c>
      <c r="V11" s="11">
        <v>30</v>
      </c>
      <c r="W11" s="22">
        <v>519.70000000000005</v>
      </c>
    </row>
    <row r="12" spans="1:23" x14ac:dyDescent="0.3">
      <c r="A12">
        <v>1980</v>
      </c>
      <c r="B12">
        <f>Corn!B12</f>
        <v>80.412803649902344</v>
      </c>
      <c r="C12">
        <f>Corn!C12</f>
        <v>64.821983337402344</v>
      </c>
      <c r="D12">
        <f>(Corn!D12*1000)*(39.368)/1000000</f>
        <v>2034.3020320000001</v>
      </c>
      <c r="E12">
        <f>(Corn!E12*1000)*(39.368)/1000000</f>
        <v>6639.3344639999996</v>
      </c>
      <c r="F12">
        <f>(Corn!F12*1000)*(39.368)/1000000</f>
        <v>0.86609599999999998</v>
      </c>
      <c r="G12">
        <f>(Corn!G12*1000)*(39.368)/1000000</f>
        <v>8674.5025920000007</v>
      </c>
      <c r="H12">
        <f>(Corn!H12*1000)*(39.368)/1000000</f>
        <v>2391.094216</v>
      </c>
      <c r="I12">
        <f>(Corn!I12*1000)*(39.368)/1000000</f>
        <v>4232.0993680000001</v>
      </c>
      <c r="J12">
        <f>(Corn!J12*1000)*(39.368)/1000000</f>
        <v>659.21716000000004</v>
      </c>
      <c r="K12">
        <f>(Corn!K12*1000)*(39.368)/1000000</f>
        <v>4891.3165280000003</v>
      </c>
      <c r="L12">
        <f>(Corn!L12*1000)*(39.368)/1000000</f>
        <v>1392.091848</v>
      </c>
      <c r="M12">
        <f>Corn!M12</f>
        <v>3.11</v>
      </c>
      <c r="N12">
        <f>(Corn!N12*1000)*(39.368)/1000000</f>
        <v>4036.8340880000001</v>
      </c>
      <c r="O12">
        <f>(Corn!O12*1000)*(39.368)/1000000</f>
        <v>16091.040112000001</v>
      </c>
      <c r="P12">
        <f>Corn!P12</f>
        <v>4437602892</v>
      </c>
      <c r="Q12">
        <f>Corn!Q12</f>
        <v>227726</v>
      </c>
      <c r="R12">
        <f>Corn!R12</f>
        <v>11452768541637.6</v>
      </c>
      <c r="S12">
        <f>Corn!S12</f>
        <v>2857.3090000000002</v>
      </c>
      <c r="T12">
        <f>Corn!T12</f>
        <v>38.927999999999997</v>
      </c>
      <c r="U12">
        <f>(Corn!U12*1000)*(39.368)/1000000</f>
        <v>7282.4107439999998</v>
      </c>
      <c r="V12" s="11">
        <v>32.5</v>
      </c>
      <c r="W12" s="22">
        <v>584.79999999999995</v>
      </c>
    </row>
    <row r="13" spans="1:23" x14ac:dyDescent="0.3">
      <c r="A13">
        <v>1981</v>
      </c>
      <c r="B13">
        <f>Corn!B13</f>
        <v>93.981346130371094</v>
      </c>
      <c r="C13">
        <f>Corn!C13</f>
        <v>79.986968994140625</v>
      </c>
      <c r="D13">
        <f>(Corn!D13*1000)*(39.368)/1000000</f>
        <v>1392.091848</v>
      </c>
      <c r="E13">
        <f>(Corn!E13*1000)*(39.368)/1000000</f>
        <v>8118.5870640000003</v>
      </c>
      <c r="F13">
        <f>(Corn!F13*1000)*(39.368)/1000000</f>
        <v>0.55115199999999998</v>
      </c>
      <c r="G13">
        <f>(Corn!G13*1000)*(39.368)/1000000</f>
        <v>9511.2300639999994</v>
      </c>
      <c r="H13">
        <f>(Corn!H13*1000)*(39.368)/1000000</f>
        <v>1996.74496</v>
      </c>
      <c r="I13">
        <f>(Corn!I13*1000)*(39.368)/1000000</f>
        <v>4244.5002880000002</v>
      </c>
      <c r="J13">
        <f>(Corn!J13*1000)*(39.368)/1000000</f>
        <v>733.38647200000003</v>
      </c>
      <c r="K13">
        <f>(Corn!K13*1000)*(39.368)/1000000</f>
        <v>4977.8867600000003</v>
      </c>
      <c r="L13">
        <f>(Corn!L13*1000)*(39.368)/1000000</f>
        <v>2536.598344</v>
      </c>
      <c r="M13">
        <f>Corn!M13</f>
        <v>2.5</v>
      </c>
      <c r="N13">
        <f>(Corn!N13*1000)*(39.368)/1000000</f>
        <v>5005.9561439999998</v>
      </c>
      <c r="O13">
        <f>(Corn!O13*1000)*(39.368)/1000000</f>
        <v>17390.735263999999</v>
      </c>
      <c r="P13">
        <f>Corn!P13</f>
        <v>4516926190</v>
      </c>
      <c r="Q13">
        <f>Corn!Q13</f>
        <v>230008</v>
      </c>
      <c r="R13">
        <f>Corn!R13</f>
        <v>11843441094928.699</v>
      </c>
      <c r="S13">
        <f>Corn!S13</f>
        <v>3207.0410000000002</v>
      </c>
      <c r="T13">
        <f>Corn!T13</f>
        <v>42.414999999999999</v>
      </c>
      <c r="U13">
        <f>(Corn!U13*1000)*(39.368)/1000000</f>
        <v>6974.6317200000003</v>
      </c>
      <c r="V13" s="11">
        <v>35.1</v>
      </c>
      <c r="W13" s="22">
        <v>515.20000000000005</v>
      </c>
    </row>
    <row r="14" spans="1:23" x14ac:dyDescent="0.3">
      <c r="A14">
        <v>1982</v>
      </c>
      <c r="B14">
        <f>Corn!B14</f>
        <v>99.1051025390625</v>
      </c>
      <c r="C14">
        <f>Corn!C14</f>
        <v>89.91021728515625</v>
      </c>
      <c r="D14">
        <f>(Corn!D14*1000)*(39.368)/1000000</f>
        <v>2536.598344</v>
      </c>
      <c r="E14">
        <f>(Corn!E14*1000)*(39.368)/1000000</f>
        <v>8235.0376080000005</v>
      </c>
      <c r="F14">
        <f>(Corn!F14*1000)*(39.368)/1000000</f>
        <v>0.472416</v>
      </c>
      <c r="G14">
        <f>(Corn!G14*1000)*(39.368)/1000000</f>
        <v>10772.108367999999</v>
      </c>
      <c r="H14">
        <f>(Corn!H14*1000)*(39.368)/1000000</f>
        <v>1821.321152</v>
      </c>
      <c r="I14">
        <f>(Corn!I14*1000)*(39.368)/1000000</f>
        <v>4573.2230879999997</v>
      </c>
      <c r="J14">
        <f>(Corn!J14*1000)*(39.368)/1000000</f>
        <v>854.48244</v>
      </c>
      <c r="K14">
        <f>(Corn!K14*1000)*(39.368)/1000000</f>
        <v>5427.7055280000004</v>
      </c>
      <c r="L14">
        <f>(Corn!L14*1000)*(39.368)/1000000</f>
        <v>3523.0816880000002</v>
      </c>
      <c r="M14">
        <f>Corn!M14</f>
        <v>2.5499999999999998</v>
      </c>
      <c r="N14">
        <f>(Corn!N14*1000)*(39.368)/1000000</f>
        <v>5895.9091520000002</v>
      </c>
      <c r="O14">
        <f>(Corn!O14*1000)*(39.368)/1000000</f>
        <v>17316.172272</v>
      </c>
      <c r="P14">
        <f>Corn!P14</f>
        <v>4599539241</v>
      </c>
      <c r="Q14">
        <f>Corn!Q14</f>
        <v>232218</v>
      </c>
      <c r="R14">
        <f>Corn!R14</f>
        <v>11719276657617.9</v>
      </c>
      <c r="S14">
        <f>Corn!S14</f>
        <v>3343.7890000000002</v>
      </c>
      <c r="T14">
        <f>Corn!T14</f>
        <v>44.771000000000001</v>
      </c>
      <c r="U14">
        <f>(Corn!U14*1000)*(39.368)/1000000</f>
        <v>7249.0266799999999</v>
      </c>
      <c r="V14" s="11">
        <v>36.5</v>
      </c>
      <c r="W14" s="22">
        <v>316.7</v>
      </c>
    </row>
    <row r="15" spans="1:23" x14ac:dyDescent="0.3">
      <c r="A15">
        <v>1983</v>
      </c>
      <c r="B15">
        <f>Corn!B15</f>
        <v>100.80005645751953</v>
      </c>
      <c r="C15">
        <f>Corn!C15</f>
        <v>99.970367431640625</v>
      </c>
      <c r="D15">
        <f>(Corn!D15*1000)*(39.368)/1000000</f>
        <v>3523.0816880000002</v>
      </c>
      <c r="E15">
        <f>(Corn!E15*1000)*(39.368)/1000000</f>
        <v>4174.2284079999999</v>
      </c>
      <c r="F15">
        <f>(Corn!F15*1000)*(39.368)/1000000</f>
        <v>1.6928240000000001</v>
      </c>
      <c r="G15">
        <f>(Corn!G15*1000)*(39.368)/1000000</f>
        <v>7699.0029199999999</v>
      </c>
      <c r="H15">
        <f>(Corn!H15*1000)*(39.368)/1000000</f>
        <v>1886.3964559999999</v>
      </c>
      <c r="I15">
        <f>(Corn!I15*1000)*(39.368)/1000000</f>
        <v>3876.2520159999999</v>
      </c>
      <c r="J15">
        <f>(Corn!J15*1000)*(39.368)/1000000</f>
        <v>930.06899999999996</v>
      </c>
      <c r="K15">
        <f>(Corn!K15*1000)*(39.368)/1000000</f>
        <v>4806.3210159999999</v>
      </c>
      <c r="L15">
        <f>(Corn!L15*1000)*(39.368)/1000000</f>
        <v>1006.285448</v>
      </c>
      <c r="M15">
        <f>Corn!M15</f>
        <v>3.21</v>
      </c>
      <c r="N15">
        <f>(Corn!N15*1000)*(39.368)/1000000</f>
        <v>3503.0433760000001</v>
      </c>
      <c r="O15">
        <f>(Corn!O15*1000)*(39.368)/1000000</f>
        <v>13713.370384</v>
      </c>
      <c r="P15">
        <f>Corn!P15</f>
        <v>4682924536</v>
      </c>
      <c r="Q15">
        <f>Corn!Q15</f>
        <v>234333</v>
      </c>
      <c r="R15">
        <f>Corn!R15</f>
        <v>11962974794875.199</v>
      </c>
      <c r="S15">
        <f>Corn!S15</f>
        <v>3634.0369999999998</v>
      </c>
      <c r="T15">
        <f>Corn!T15</f>
        <v>46.676000000000002</v>
      </c>
      <c r="U15">
        <f>(Corn!U15*1000)*(39.368)/1000000</f>
        <v>6692.7174720000003</v>
      </c>
      <c r="V15" s="11">
        <v>37.299999999999997</v>
      </c>
      <c r="W15" s="22">
        <v>204.5</v>
      </c>
    </row>
    <row r="16" spans="1:23" x14ac:dyDescent="0.3">
      <c r="A16">
        <v>1984</v>
      </c>
      <c r="B16">
        <f>Corn!B16</f>
        <v>102.09542846679688</v>
      </c>
      <c r="C16">
        <f>Corn!C16</f>
        <v>102.4085693359375</v>
      </c>
      <c r="D16">
        <f>(Corn!D16*1000)*(39.368)/1000000</f>
        <v>1006.285448</v>
      </c>
      <c r="E16">
        <f>(Corn!E16*1000)*(39.368)/1000000</f>
        <v>7672.0752080000002</v>
      </c>
      <c r="F16">
        <f>(Corn!F16*1000)*(39.368)/1000000</f>
        <v>1.732192</v>
      </c>
      <c r="G16">
        <f>(Corn!G16*1000)*(39.368)/1000000</f>
        <v>8680.0928480000002</v>
      </c>
      <c r="H16">
        <f>(Corn!H16*1000)*(39.368)/1000000</f>
        <v>1850.2566320000001</v>
      </c>
      <c r="I16">
        <f>(Corn!I16*1000)*(39.368)/1000000</f>
        <v>4114.4677840000004</v>
      </c>
      <c r="J16">
        <f>(Corn!J16*1000)*(39.368)/1000000</f>
        <v>1067.1877440000001</v>
      </c>
      <c r="K16">
        <f>(Corn!K16*1000)*(39.368)/1000000</f>
        <v>5181.6555280000002</v>
      </c>
      <c r="L16">
        <f>(Corn!L16*1000)*(39.368)/1000000</f>
        <v>1648.1806879999999</v>
      </c>
      <c r="M16">
        <f>Corn!M16</f>
        <v>2.63</v>
      </c>
      <c r="N16">
        <f>(Corn!N16*1000)*(39.368)/1000000</f>
        <v>4651.4473040000003</v>
      </c>
      <c r="O16">
        <f>(Corn!O16*1000)*(39.368)/1000000</f>
        <v>18042.984288</v>
      </c>
      <c r="P16">
        <f>Corn!P16</f>
        <v>4766040300</v>
      </c>
      <c r="Q16">
        <f>Corn!Q16</f>
        <v>236394</v>
      </c>
      <c r="R16">
        <f>Corn!R16</f>
        <v>12427957579028</v>
      </c>
      <c r="S16">
        <f>Corn!S16</f>
        <v>4037.614</v>
      </c>
      <c r="T16">
        <f>Corn!T16</f>
        <v>48.439</v>
      </c>
      <c r="U16">
        <f>(Corn!U16*1000)*(39.368)/1000000</f>
        <v>7031.9121599999999</v>
      </c>
      <c r="V16" s="11">
        <v>38.700000000000003</v>
      </c>
      <c r="W16" s="22">
        <v>215.2</v>
      </c>
    </row>
    <row r="17" spans="1:23" x14ac:dyDescent="0.3">
      <c r="A17">
        <v>1985</v>
      </c>
      <c r="B17">
        <f>Corn!B17</f>
        <v>98.704330444335938</v>
      </c>
      <c r="C17">
        <f>Corn!C17</f>
        <v>88.385055541992188</v>
      </c>
      <c r="D17">
        <f>(Corn!D17*1000)*(39.368)/1000000</f>
        <v>1648.1806879999999</v>
      </c>
      <c r="E17">
        <f>(Corn!E17*1000)*(39.368)/1000000</f>
        <v>8875.3974959999996</v>
      </c>
      <c r="F17">
        <f>(Corn!F17*1000)*(39.368)/1000000</f>
        <v>9.8813680000000002</v>
      </c>
      <c r="G17">
        <f>(Corn!G17*1000)*(39.368)/1000000</f>
        <v>10533.459552</v>
      </c>
      <c r="H17">
        <f>(Corn!H17*1000)*(39.368)/1000000</f>
        <v>1227.3367679999999</v>
      </c>
      <c r="I17">
        <f>(Corn!I17*1000)*(39.368)/1000000</f>
        <v>4114.1528399999997</v>
      </c>
      <c r="J17">
        <f>(Corn!J17*1000)*(39.368)/1000000</f>
        <v>1152.458832</v>
      </c>
      <c r="K17">
        <f>(Corn!K17*1000)*(39.368)/1000000</f>
        <v>5266.611672</v>
      </c>
      <c r="L17">
        <f>(Corn!L17*1000)*(39.368)/1000000</f>
        <v>4039.5111120000001</v>
      </c>
      <c r="M17">
        <f>Corn!M17</f>
        <v>2.23</v>
      </c>
      <c r="N17">
        <f>(Corn!N17*1000)*(39.368)/1000000</f>
        <v>6994.8275039999999</v>
      </c>
      <c r="O17">
        <f>(Corn!O17*1000)*(39.368)/1000000</f>
        <v>18850.225127999998</v>
      </c>
      <c r="P17">
        <f>Corn!P17</f>
        <v>4850740788</v>
      </c>
      <c r="Q17">
        <f>Corn!Q17</f>
        <v>238506</v>
      </c>
      <c r="R17">
        <f>Corn!R17</f>
        <v>13016982447733.199</v>
      </c>
      <c r="S17">
        <f>Corn!S17</f>
        <v>4338.9809999999998</v>
      </c>
      <c r="T17">
        <f>Corn!T17</f>
        <v>50.128</v>
      </c>
      <c r="U17">
        <f>(Corn!U17*1000)*(39.368)/1000000</f>
        <v>6493.9484400000001</v>
      </c>
      <c r="V17" s="11">
        <v>39.6</v>
      </c>
      <c r="W17" s="22">
        <v>171.2</v>
      </c>
    </row>
    <row r="18" spans="1:23" x14ac:dyDescent="0.3">
      <c r="A18">
        <v>1986</v>
      </c>
      <c r="B18">
        <f>Corn!B18</f>
        <v>96.204750061035156</v>
      </c>
      <c r="C18">
        <f>Corn!C18</f>
        <v>81.497161865234375</v>
      </c>
      <c r="D18">
        <f>(Corn!D18*1000)*(39.368)/1000000</f>
        <v>4039.5111120000001</v>
      </c>
      <c r="E18">
        <f>(Corn!E18*1000)*(39.368)/1000000</f>
        <v>8225.7073920000003</v>
      </c>
      <c r="F18">
        <f>(Corn!F18*1000)*(39.368)/1000000</f>
        <v>1.77156</v>
      </c>
      <c r="G18">
        <f>(Corn!G18*1000)*(39.368)/1000000</f>
        <v>12266.990064</v>
      </c>
      <c r="H18">
        <f>(Corn!H18*1000)*(39.368)/1000000</f>
        <v>1492.4802480000001</v>
      </c>
      <c r="I18">
        <f>(Corn!I18*1000)*(39.368)/1000000</f>
        <v>4659.4390080000003</v>
      </c>
      <c r="J18">
        <f>(Corn!J18*1000)*(39.368)/1000000</f>
        <v>1233.3994399999999</v>
      </c>
      <c r="K18">
        <f>(Corn!K18*1000)*(39.368)/1000000</f>
        <v>5892.8384480000004</v>
      </c>
      <c r="L18">
        <f>(Corn!L18*1000)*(39.368)/1000000</f>
        <v>4881.6713680000003</v>
      </c>
      <c r="M18">
        <f>Corn!M18</f>
        <v>1.5</v>
      </c>
      <c r="N18">
        <f>(Corn!N18*1000)*(39.368)/1000000</f>
        <v>8065.0465839999997</v>
      </c>
      <c r="O18">
        <f>(Corn!O18*1000)*(39.368)/1000000</f>
        <v>18709.996311999999</v>
      </c>
      <c r="P18">
        <f>Corn!P18</f>
        <v>4937711562</v>
      </c>
      <c r="Q18">
        <f>Corn!Q18</f>
        <v>240683</v>
      </c>
      <c r="R18">
        <f>Corn!R18</f>
        <v>15348439146362.6</v>
      </c>
      <c r="S18">
        <f>Corn!S18</f>
        <v>4579.6329999999998</v>
      </c>
      <c r="T18">
        <f>Corn!T18</f>
        <v>51.219000000000001</v>
      </c>
      <c r="U18">
        <f>(Corn!U18*1000)*(39.368)/1000000</f>
        <v>7385.3186960000003</v>
      </c>
      <c r="V18" s="11">
        <v>40.9</v>
      </c>
      <c r="W18" s="22">
        <v>110.6</v>
      </c>
    </row>
    <row r="19" spans="1:23" x14ac:dyDescent="0.3">
      <c r="A19">
        <v>1987</v>
      </c>
      <c r="B19">
        <f>Corn!B19</f>
        <v>86.343116760253906</v>
      </c>
      <c r="C19">
        <f>Corn!C19</f>
        <v>79.408096313476563</v>
      </c>
      <c r="D19">
        <f>(Corn!D19*1000)*(39.368)/1000000</f>
        <v>4881.6713680000003</v>
      </c>
      <c r="E19">
        <f>(Corn!E19*1000)*(39.368)/1000000</f>
        <v>7131.2376240000003</v>
      </c>
      <c r="F19">
        <f>(Corn!F19*1000)*(39.368)/1000000</f>
        <v>3.4250159999999998</v>
      </c>
      <c r="G19">
        <f>(Corn!G19*1000)*(39.368)/1000000</f>
        <v>12016.334008</v>
      </c>
      <c r="H19">
        <f>(Corn!H19*1000)*(39.368)/1000000</f>
        <v>1716.405432</v>
      </c>
      <c r="I19">
        <f>(Corn!I19*1000)*(39.368)/1000000</f>
        <v>4789.1959360000001</v>
      </c>
      <c r="J19">
        <f>(Corn!J19*1000)*(39.368)/1000000</f>
        <v>1251.6661919999999</v>
      </c>
      <c r="K19">
        <f>(Corn!K19*1000)*(39.368)/1000000</f>
        <v>6040.8621279999998</v>
      </c>
      <c r="L19">
        <f>(Corn!L19*1000)*(39.368)/1000000</f>
        <v>4259.0664479999996</v>
      </c>
      <c r="M19">
        <f>Corn!M19</f>
        <v>1.94</v>
      </c>
      <c r="N19">
        <f>(Corn!N19*1000)*(39.368)/1000000</f>
        <v>7782.0300319999997</v>
      </c>
      <c r="O19">
        <f>(Corn!O19*1000)*(39.368)/1000000</f>
        <v>17744.023696</v>
      </c>
      <c r="P19">
        <f>Corn!P19</f>
        <v>5027030278</v>
      </c>
      <c r="Q19">
        <f>Corn!Q19</f>
        <v>242843</v>
      </c>
      <c r="R19">
        <f>Corn!R19</f>
        <v>17472239624529</v>
      </c>
      <c r="S19">
        <f>Corn!S19</f>
        <v>4855.2160000000003</v>
      </c>
      <c r="T19">
        <f>Corn!T19</f>
        <v>52.802</v>
      </c>
      <c r="U19">
        <f>(Corn!U19*1000)*(39.368)/1000000</f>
        <v>7757.2675600000002</v>
      </c>
      <c r="V19" s="11">
        <v>42.6</v>
      </c>
      <c r="W19" s="22">
        <v>177.3</v>
      </c>
    </row>
    <row r="20" spans="1:23" x14ac:dyDescent="0.3">
      <c r="A20">
        <v>1988</v>
      </c>
      <c r="B20">
        <f>Corn!B20</f>
        <v>88.247077941894531</v>
      </c>
      <c r="C20">
        <f>Corn!C20</f>
        <v>94.016883850097656</v>
      </c>
      <c r="D20">
        <f>(Corn!D20*1000)*(39.368)/1000000</f>
        <v>4259.0664479999996</v>
      </c>
      <c r="E20">
        <f>(Corn!E20*1000)*(39.368)/1000000</f>
        <v>4928.6373919999996</v>
      </c>
      <c r="F20">
        <f>(Corn!F20*1000)*(39.368)/1000000</f>
        <v>2.7951280000000001</v>
      </c>
      <c r="G20">
        <f>(Corn!G20*1000)*(39.368)/1000000</f>
        <v>9190.4989679999999</v>
      </c>
      <c r="H20">
        <f>(Corn!H20*1000)*(39.368)/1000000</f>
        <v>2028.4362000000001</v>
      </c>
      <c r="I20">
        <f>(Corn!I20*1000)*(39.368)/1000000</f>
        <v>3933.8867679999998</v>
      </c>
      <c r="J20">
        <f>(Corn!J20*1000)*(39.368)/1000000</f>
        <v>1297.76612</v>
      </c>
      <c r="K20">
        <f>(Corn!K20*1000)*(39.368)/1000000</f>
        <v>5231.6528879999996</v>
      </c>
      <c r="L20">
        <f>(Corn!L20*1000)*(39.368)/1000000</f>
        <v>1930.4098799999999</v>
      </c>
      <c r="M20">
        <f>Corn!M20</f>
        <v>2.54</v>
      </c>
      <c r="N20">
        <f>(Corn!N20*1000)*(39.368)/1000000</f>
        <v>5718.2807359999997</v>
      </c>
      <c r="O20">
        <f>(Corn!O20*1000)*(39.368)/1000000</f>
        <v>15760.978800000001</v>
      </c>
      <c r="P20">
        <f>Corn!P20</f>
        <v>5117167006</v>
      </c>
      <c r="Q20">
        <f>Corn!Q20</f>
        <v>245061</v>
      </c>
      <c r="R20">
        <f>Corn!R20</f>
        <v>19524821807843.898</v>
      </c>
      <c r="S20">
        <f>Corn!S20</f>
        <v>5236.4380000000001</v>
      </c>
      <c r="T20">
        <f>Corn!T20</f>
        <v>54.865000000000002</v>
      </c>
      <c r="U20">
        <f>(Corn!U20*1000)*(39.368)/1000000</f>
        <v>7260.0890879999997</v>
      </c>
      <c r="V20" s="11">
        <v>44.3</v>
      </c>
      <c r="W20" s="22">
        <v>234.8</v>
      </c>
    </row>
    <row r="21" spans="1:23" x14ac:dyDescent="0.3">
      <c r="A21">
        <v>1989</v>
      </c>
      <c r="B21">
        <f>Corn!B21</f>
        <v>90.934188842773438</v>
      </c>
      <c r="C21">
        <f>Corn!C21</f>
        <v>84.0772705078125</v>
      </c>
      <c r="D21">
        <f>(Corn!D21*1000)*(39.368)/1000000</f>
        <v>1930.4098799999999</v>
      </c>
      <c r="E21">
        <f>(Corn!E21*1000)*(39.368)/1000000</f>
        <v>7531.8857600000001</v>
      </c>
      <c r="F21">
        <f>(Corn!F21*1000)*(39.368)/1000000</f>
        <v>1.889664</v>
      </c>
      <c r="G21">
        <f>(Corn!G21*1000)*(39.368)/1000000</f>
        <v>9464.1853040000005</v>
      </c>
      <c r="H21">
        <f>(Corn!H21*1000)*(39.368)/1000000</f>
        <v>2367.2765760000002</v>
      </c>
      <c r="I21">
        <f>(Corn!I21*1000)*(39.368)/1000000</f>
        <v>4382.4457599999996</v>
      </c>
      <c r="J21">
        <f>(Corn!J21*1000)*(39.368)/1000000</f>
        <v>1370.0064</v>
      </c>
      <c r="K21">
        <f>(Corn!K21*1000)*(39.368)/1000000</f>
        <v>5752.4521599999998</v>
      </c>
      <c r="L21">
        <f>(Corn!L21*1000)*(39.368)/1000000</f>
        <v>1344.4565680000001</v>
      </c>
      <c r="M21">
        <f>Corn!M21</f>
        <v>2.36</v>
      </c>
      <c r="N21">
        <f>(Corn!N21*1000)*(39.368)/1000000</f>
        <v>5230.6686879999997</v>
      </c>
      <c r="O21">
        <f>(Corn!O21*1000)*(39.368)/1000000</f>
        <v>18169.001256</v>
      </c>
      <c r="P21">
        <f>Corn!P21</f>
        <v>5207654866</v>
      </c>
      <c r="Q21">
        <f>Corn!Q21</f>
        <v>247387</v>
      </c>
      <c r="R21">
        <f>Corn!R21</f>
        <v>20395813960211</v>
      </c>
      <c r="S21">
        <f>Corn!S21</f>
        <v>5641.58</v>
      </c>
      <c r="T21">
        <f>Corn!T21</f>
        <v>57.261000000000003</v>
      </c>
      <c r="U21">
        <f>(Corn!U21*1000)*(39.368)/1000000</f>
        <v>8119.728736</v>
      </c>
      <c r="V21" s="11">
        <v>46.8</v>
      </c>
      <c r="W21" s="22">
        <v>218.2</v>
      </c>
    </row>
    <row r="22" spans="1:23" x14ac:dyDescent="0.3">
      <c r="A22">
        <v>1990</v>
      </c>
      <c r="B22">
        <f>Corn!B22</f>
        <v>90.342483520507813</v>
      </c>
      <c r="C22">
        <f>Corn!C22</f>
        <v>84.066162109375</v>
      </c>
      <c r="D22">
        <f>(Corn!D22*1000)*(39.368)/1000000</f>
        <v>1344.4565680000001</v>
      </c>
      <c r="E22">
        <f>(Corn!E22*1000)*(39.368)/1000000</f>
        <v>7933.9905120000003</v>
      </c>
      <c r="F22">
        <f>(Corn!F22*1000)*(39.368)/1000000</f>
        <v>3.4250159999999998</v>
      </c>
      <c r="G22">
        <f>(Corn!G22*1000)*(39.368)/1000000</f>
        <v>9281.8720959999991</v>
      </c>
      <c r="H22">
        <f>(Corn!H22*1000)*(39.368)/1000000</f>
        <v>1726.6017440000001</v>
      </c>
      <c r="I22">
        <f>(Corn!I22*1000)*(39.368)/1000000</f>
        <v>4608.890496</v>
      </c>
      <c r="J22">
        <f>(Corn!J22*1000)*(39.368)/1000000</f>
        <v>1425.1609679999999</v>
      </c>
      <c r="K22">
        <f>(Corn!K22*1000)*(39.368)/1000000</f>
        <v>6034.0514640000001</v>
      </c>
      <c r="L22">
        <f>(Corn!L22*1000)*(39.368)/1000000</f>
        <v>1521.2188880000001</v>
      </c>
      <c r="M22">
        <f>Corn!M22</f>
        <v>2.2799999999999998</v>
      </c>
      <c r="N22">
        <f>(Corn!N22*1000)*(39.368)/1000000</f>
        <v>5566.7139360000001</v>
      </c>
      <c r="O22">
        <f>(Corn!O22*1000)*(39.368)/1000000</f>
        <v>18966.045784000002</v>
      </c>
      <c r="P22">
        <f>Corn!P22</f>
        <v>5299246757</v>
      </c>
      <c r="Q22">
        <f>Corn!Q22</f>
        <v>250181</v>
      </c>
      <c r="R22">
        <f>Corn!R22</f>
        <v>22922751084575</v>
      </c>
      <c r="S22">
        <f>Corn!S22</f>
        <v>5963.1450000000004</v>
      </c>
      <c r="T22">
        <f>Corn!T22</f>
        <v>59.774999999999999</v>
      </c>
      <c r="U22">
        <f>(Corn!U22*1000)*(39.368)/1000000</f>
        <v>7760.6532079999997</v>
      </c>
      <c r="V22" s="11">
        <v>49.5</v>
      </c>
      <c r="W22" s="22">
        <v>234.8</v>
      </c>
    </row>
    <row r="23" spans="1:23" x14ac:dyDescent="0.3">
      <c r="A23">
        <v>1991</v>
      </c>
      <c r="B23">
        <f>Corn!B23</f>
        <v>86.577346801757813</v>
      </c>
      <c r="C23">
        <f>Corn!C23</f>
        <v>82.594825744628906</v>
      </c>
      <c r="D23">
        <f>(Corn!D23*1000)*(39.368)/1000000</f>
        <v>1521.2188880000001</v>
      </c>
      <c r="E23">
        <f>(Corn!E23*1000)*(39.368)/1000000</f>
        <v>7474.7234239999998</v>
      </c>
      <c r="F23">
        <f>(Corn!F23*1000)*(39.368)/1000000</f>
        <v>19.644632000000001</v>
      </c>
      <c r="G23">
        <f>(Corn!G23*1000)*(39.368)/1000000</f>
        <v>9015.5869440000006</v>
      </c>
      <c r="H23">
        <f>(Corn!H23*1000)*(39.368)/1000000</f>
        <v>1583.892744</v>
      </c>
      <c r="I23">
        <f>(Corn!I23*1000)*(39.368)/1000000</f>
        <v>4797.896264</v>
      </c>
      <c r="J23">
        <f>(Corn!J23*1000)*(39.368)/1000000</f>
        <v>1533.501704</v>
      </c>
      <c r="K23">
        <f>(Corn!K23*1000)*(39.368)/1000000</f>
        <v>6331.3979680000002</v>
      </c>
      <c r="L23">
        <f>(Corn!L23*1000)*(39.368)/1000000</f>
        <v>1100.2962319999999</v>
      </c>
      <c r="M23">
        <f>Corn!M23</f>
        <v>2.37</v>
      </c>
      <c r="N23">
        <f>(Corn!N23*1000)*(39.368)/1000000</f>
        <v>5553.0532400000002</v>
      </c>
      <c r="O23">
        <f>(Corn!O23*1000)*(39.368)/1000000</f>
        <v>19397.046648</v>
      </c>
      <c r="P23">
        <f>Corn!P23</f>
        <v>5388496229</v>
      </c>
      <c r="Q23">
        <f>Corn!Q23</f>
        <v>253530</v>
      </c>
      <c r="R23">
        <f>Corn!R23</f>
        <v>23920903881560.898</v>
      </c>
      <c r="S23">
        <f>Corn!S23</f>
        <v>6158.1289999999999</v>
      </c>
      <c r="T23">
        <f>Corn!T23</f>
        <v>61.774000000000001</v>
      </c>
      <c r="U23">
        <f>(Corn!U23*1000)*(39.368)/1000000</f>
        <v>7915.290712</v>
      </c>
      <c r="V23" s="11">
        <v>51.3</v>
      </c>
      <c r="W23" s="22">
        <v>190.9</v>
      </c>
    </row>
    <row r="24" spans="1:23" x14ac:dyDescent="0.3">
      <c r="A24">
        <v>1992</v>
      </c>
      <c r="B24">
        <f>Corn!B24</f>
        <v>83.473403930664063</v>
      </c>
      <c r="C24">
        <f>Corn!C24</f>
        <v>86.182106018066406</v>
      </c>
      <c r="D24">
        <f>(Corn!D24*1000)*(39.368)/1000000</f>
        <v>1100.2962319999999</v>
      </c>
      <c r="E24">
        <f>(Corn!E24*1000)*(39.368)/1000000</f>
        <v>9476.6255920000003</v>
      </c>
      <c r="F24">
        <f>(Corn!F24*1000)*(39.368)/1000000</f>
        <v>7.0862400000000001</v>
      </c>
      <c r="G24">
        <f>(Corn!G24*1000)*(39.368)/1000000</f>
        <v>10584.008064</v>
      </c>
      <c r="H24">
        <f>(Corn!H24*1000)*(39.368)/1000000</f>
        <v>1663.258632</v>
      </c>
      <c r="I24">
        <f>(Corn!I24*1000)*(39.368)/1000000</f>
        <v>5252.0455119999997</v>
      </c>
      <c r="J24">
        <f>(Corn!J24*1000)*(39.368)/1000000</f>
        <v>1555.7446239999999</v>
      </c>
      <c r="K24">
        <f>(Corn!K24*1000)*(39.368)/1000000</f>
        <v>6807.7901359999996</v>
      </c>
      <c r="L24">
        <f>(Corn!L24*1000)*(39.368)/1000000</f>
        <v>2112.959296</v>
      </c>
      <c r="M24">
        <f>Corn!M24</f>
        <v>2.0699999999999998</v>
      </c>
      <c r="N24">
        <f>(Corn!N24*1000)*(39.368)/1000000</f>
        <v>6406.7483199999997</v>
      </c>
      <c r="O24">
        <f>(Corn!O24*1000)*(39.368)/1000000</f>
        <v>21087.311728000001</v>
      </c>
      <c r="P24">
        <f>Corn!P24</f>
        <v>5477123966</v>
      </c>
      <c r="Q24">
        <f>Corn!Q24</f>
        <v>256922</v>
      </c>
      <c r="R24">
        <f>Corn!R24</f>
        <v>25546959069356.801</v>
      </c>
      <c r="S24">
        <f>Corn!S24</f>
        <v>6520.3270000000002</v>
      </c>
      <c r="T24">
        <f>Corn!T24</f>
        <v>63.42</v>
      </c>
      <c r="U24">
        <f>(Corn!U24*1000)*(39.368)/1000000</f>
        <v>8471.0487680000006</v>
      </c>
      <c r="V24" s="11">
        <v>52</v>
      </c>
      <c r="W24" s="22">
        <v>131.80000000000001</v>
      </c>
    </row>
    <row r="25" spans="1:23" x14ac:dyDescent="0.3">
      <c r="A25">
        <v>1993</v>
      </c>
      <c r="B25">
        <f>Corn!B25</f>
        <v>81.141952514648438</v>
      </c>
      <c r="C25">
        <f>Corn!C25</f>
        <v>84.289794921875</v>
      </c>
      <c r="D25">
        <f>(Corn!D25*1000)*(39.368)/1000000</f>
        <v>2112.959296</v>
      </c>
      <c r="E25">
        <f>(Corn!E25*1000)*(39.368)/1000000</f>
        <v>6337.6968479999996</v>
      </c>
      <c r="F25">
        <f>(Corn!F25*1000)*(39.368)/1000000</f>
        <v>20.825672000000001</v>
      </c>
      <c r="G25">
        <f>(Corn!G25*1000)*(39.368)/1000000</f>
        <v>8471.4818159999995</v>
      </c>
      <c r="H25">
        <f>(Corn!H25*1000)*(39.368)/1000000</f>
        <v>1328.3156879999999</v>
      </c>
      <c r="I25">
        <f>(Corn!I25*1000)*(39.368)/1000000</f>
        <v>4679.8316320000004</v>
      </c>
      <c r="J25">
        <f>(Corn!J25*1000)*(39.368)/1000000</f>
        <v>1613.182536</v>
      </c>
      <c r="K25">
        <f>(Corn!K25*1000)*(39.368)/1000000</f>
        <v>6293.0141679999997</v>
      </c>
      <c r="L25">
        <f>(Corn!L25*1000)*(39.368)/1000000</f>
        <v>850.15196000000003</v>
      </c>
      <c r="M25">
        <f>Corn!M25</f>
        <v>2.5</v>
      </c>
      <c r="N25">
        <f>(Corn!N25*1000)*(39.368)/1000000</f>
        <v>5095.9513919999999</v>
      </c>
      <c r="O25">
        <f>(Corn!O25*1000)*(39.368)/1000000</f>
        <v>18733.617112</v>
      </c>
      <c r="P25">
        <f>Corn!P25</f>
        <v>5564778621</v>
      </c>
      <c r="Q25">
        <f>Corn!Q25</f>
        <v>260282</v>
      </c>
      <c r="R25">
        <f>Corn!R25</f>
        <v>25974923485795.5</v>
      </c>
      <c r="S25">
        <f>Corn!S25</f>
        <v>6858.5590000000002</v>
      </c>
      <c r="T25">
        <f>Corn!T25</f>
        <v>65</v>
      </c>
      <c r="U25">
        <f>(Corn!U25*1000)*(39.368)/1000000</f>
        <v>7621.3298560000003</v>
      </c>
      <c r="V25" s="11">
        <v>53.1</v>
      </c>
      <c r="W25" s="22">
        <v>140.9</v>
      </c>
    </row>
    <row r="26" spans="1:23" x14ac:dyDescent="0.3">
      <c r="A26">
        <v>1994</v>
      </c>
      <c r="B26">
        <f>Corn!B26</f>
        <v>85.531700134277344</v>
      </c>
      <c r="C26">
        <f>Corn!C26</f>
        <v>77.336288452148438</v>
      </c>
      <c r="D26">
        <f>(Corn!D26*1000)*(39.368)/1000000</f>
        <v>850.15196000000003</v>
      </c>
      <c r="E26">
        <f>(Corn!E26*1000)*(39.368)/1000000</f>
        <v>10050.45356</v>
      </c>
      <c r="F26">
        <f>(Corn!F26*1000)*(39.368)/1000000</f>
        <v>9.5664239999999996</v>
      </c>
      <c r="G26">
        <f>(Corn!G26*1000)*(39.368)/1000000</f>
        <v>10910.171944</v>
      </c>
      <c r="H26">
        <f>(Corn!H26*1000)*(39.368)/1000000</f>
        <v>2177.483448</v>
      </c>
      <c r="I26">
        <f>(Corn!I26*1000)*(39.368)/1000000</f>
        <v>5459.6329759999999</v>
      </c>
      <c r="J26">
        <f>(Corn!J26*1000)*(39.368)/1000000</f>
        <v>1715.2243920000001</v>
      </c>
      <c r="K26">
        <f>(Corn!K26*1000)*(39.368)/1000000</f>
        <v>7174.857368</v>
      </c>
      <c r="L26">
        <f>(Corn!L26*1000)*(39.368)/1000000</f>
        <v>1557.831128</v>
      </c>
      <c r="M26">
        <f>Corn!M26</f>
        <v>2.2599999999999998</v>
      </c>
      <c r="N26">
        <f>(Corn!N26*1000)*(39.368)/1000000</f>
        <v>6037.0040639999997</v>
      </c>
      <c r="O26">
        <f>(Corn!O26*1000)*(39.368)/1000000</f>
        <v>22030.017855999999</v>
      </c>
      <c r="P26">
        <f>Corn!P26</f>
        <v>5650853178</v>
      </c>
      <c r="Q26">
        <f>Corn!Q26</f>
        <v>263455</v>
      </c>
      <c r="R26">
        <f>Corn!R26</f>
        <v>27961448359307.602</v>
      </c>
      <c r="S26">
        <f>Corn!S26</f>
        <v>7287.2370000000001</v>
      </c>
      <c r="T26">
        <f>Corn!T26</f>
        <v>66.356999999999999</v>
      </c>
      <c r="U26">
        <f>(Corn!U26*1000)*(39.368)/1000000</f>
        <v>9352.3408159999999</v>
      </c>
      <c r="V26" s="11">
        <v>54.3</v>
      </c>
      <c r="W26" s="22">
        <v>125.8</v>
      </c>
    </row>
    <row r="27" spans="1:23" x14ac:dyDescent="0.3">
      <c r="A27">
        <v>1995</v>
      </c>
      <c r="B27">
        <f>Corn!B27</f>
        <v>86.893562316894531</v>
      </c>
      <c r="C27">
        <f>Corn!C27</f>
        <v>77.72540283203125</v>
      </c>
      <c r="D27">
        <f>(Corn!D27*1000)*(39.368)/1000000</f>
        <v>1557.831128</v>
      </c>
      <c r="E27">
        <f>(Corn!E27*1000)*(39.368)/1000000</f>
        <v>7400.0029599999998</v>
      </c>
      <c r="F27">
        <f>(Corn!F27*1000)*(39.368)/1000000</f>
        <v>16.495191999999999</v>
      </c>
      <c r="G27">
        <f>(Corn!G27*1000)*(39.368)/1000000</f>
        <v>8974.3292799999999</v>
      </c>
      <c r="H27">
        <f>(Corn!H27*1000)*(39.368)/1000000</f>
        <v>2227.795752</v>
      </c>
      <c r="I27">
        <f>(Corn!I27*1000)*(39.368)/1000000</f>
        <v>4690.6971999999996</v>
      </c>
      <c r="J27">
        <f>(Corn!J27*1000)*(39.368)/1000000</f>
        <v>1629.9139359999999</v>
      </c>
      <c r="K27">
        <f>(Corn!K27*1000)*(39.368)/1000000</f>
        <v>6320.6111360000004</v>
      </c>
      <c r="L27">
        <f>(Corn!L27*1000)*(39.368)/1000000</f>
        <v>425.922392</v>
      </c>
      <c r="M27">
        <f>Corn!M27</f>
        <v>3.24</v>
      </c>
      <c r="N27">
        <f>(Corn!N27*1000)*(39.368)/1000000</f>
        <v>5247.2032479999998</v>
      </c>
      <c r="O27">
        <f>(Corn!O27*1000)*(39.368)/1000000</f>
        <v>20341.209392000001</v>
      </c>
      <c r="P27">
        <f>Corn!P27</f>
        <v>5736505517</v>
      </c>
      <c r="Q27">
        <f>Corn!Q27</f>
        <v>266588</v>
      </c>
      <c r="R27">
        <f>Corn!R27</f>
        <v>31245419629026</v>
      </c>
      <c r="S27">
        <f>Corn!S27</f>
        <v>7639.7489999999998</v>
      </c>
      <c r="T27">
        <f>Corn!T27</f>
        <v>67.754000000000005</v>
      </c>
      <c r="U27">
        <f>(Corn!U27*1000)*(39.368)/1000000</f>
        <v>8548.4068879999995</v>
      </c>
      <c r="V27" s="11">
        <v>55.8</v>
      </c>
      <c r="W27" s="22">
        <v>121.2</v>
      </c>
    </row>
    <row r="28" spans="1:23" x14ac:dyDescent="0.3">
      <c r="A28">
        <v>1996</v>
      </c>
      <c r="B28">
        <f>Corn!B28</f>
        <v>87.71954345703125</v>
      </c>
      <c r="C28">
        <f>Corn!C28</f>
        <v>83.900634765625</v>
      </c>
      <c r="D28">
        <f>(Corn!D28*1000)*(39.368)/1000000</f>
        <v>425.922392</v>
      </c>
      <c r="E28">
        <f>(Corn!E28*1000)*(39.368)/1000000</f>
        <v>9232.5046239999992</v>
      </c>
      <c r="F28">
        <f>(Corn!F28*1000)*(39.368)/1000000</f>
        <v>13.267016</v>
      </c>
      <c r="G28">
        <f>(Corn!G28*1000)*(39.368)/1000000</f>
        <v>9671.6940319999994</v>
      </c>
      <c r="H28">
        <f>(Corn!H28*1000)*(39.368)/1000000</f>
        <v>1797.3460399999999</v>
      </c>
      <c r="I28">
        <f>(Corn!I28*1000)*(39.368)/1000000</f>
        <v>5274.9970560000002</v>
      </c>
      <c r="J28">
        <f>(Corn!J28*1000)*(39.368)/1000000</f>
        <v>1716.208592</v>
      </c>
      <c r="K28">
        <f>(Corn!K28*1000)*(39.368)/1000000</f>
        <v>6991.2056480000001</v>
      </c>
      <c r="L28">
        <f>(Corn!L28*1000)*(39.368)/1000000</f>
        <v>883.14234399999998</v>
      </c>
      <c r="M28">
        <f>Corn!M28</f>
        <v>2.71</v>
      </c>
      <c r="N28">
        <f>(Corn!N28*1000)*(39.368)/1000000</f>
        <v>6547.6463919999997</v>
      </c>
      <c r="O28">
        <f>(Corn!O28*1000)*(39.368)/1000000</f>
        <v>23341.169096000001</v>
      </c>
      <c r="P28">
        <f>Corn!P28</f>
        <v>5822614627</v>
      </c>
      <c r="Q28">
        <f>Corn!Q28</f>
        <v>269714</v>
      </c>
      <c r="R28">
        <f>Corn!R28</f>
        <v>31968950237590.699</v>
      </c>
      <c r="S28">
        <f>Corn!S28</f>
        <v>8073.1220000000003</v>
      </c>
      <c r="T28">
        <f>Corn!T28</f>
        <v>69.203000000000003</v>
      </c>
      <c r="U28">
        <f>(Corn!U28*1000)*(39.368)/1000000</f>
        <v>8788.5516879999996</v>
      </c>
      <c r="V28" s="11">
        <v>57.6</v>
      </c>
      <c r="W28" s="22">
        <v>107.6</v>
      </c>
    </row>
    <row r="29" spans="1:23" x14ac:dyDescent="0.3">
      <c r="A29">
        <v>1997</v>
      </c>
      <c r="B29">
        <f>Corn!B29</f>
        <v>94.477149963378906</v>
      </c>
      <c r="C29">
        <f>Corn!C29</f>
        <v>87.958404541015625</v>
      </c>
      <c r="D29">
        <f>(Corn!D29*1000)*(39.368)/1000000</f>
        <v>883.14234399999998</v>
      </c>
      <c r="E29">
        <f>(Corn!E29*1000)*(39.368)/1000000</f>
        <v>9206.7579519999999</v>
      </c>
      <c r="F29">
        <f>(Corn!F29*1000)*(39.368)/1000000</f>
        <v>8.8184319999999996</v>
      </c>
      <c r="G29">
        <f>(Corn!G29*1000)*(39.368)/1000000</f>
        <v>10098.718728</v>
      </c>
      <c r="H29">
        <f>(Corn!H29*1000)*(39.368)/1000000</f>
        <v>1504.408752</v>
      </c>
      <c r="I29">
        <f>(Corn!I29*1000)*(39.368)/1000000</f>
        <v>5447.8225759999996</v>
      </c>
      <c r="J29">
        <f>(Corn!J29*1000)*(39.368)/1000000</f>
        <v>1838.68244</v>
      </c>
      <c r="K29">
        <f>(Corn!K29*1000)*(39.368)/1000000</f>
        <v>7286.5050160000001</v>
      </c>
      <c r="L29">
        <f>(Corn!L29*1000)*(39.368)/1000000</f>
        <v>1307.8049599999999</v>
      </c>
      <c r="M29">
        <f>Corn!M29</f>
        <v>2.4300000000000002</v>
      </c>
      <c r="N29">
        <f>(Corn!N29*1000)*(39.368)/1000000</f>
        <v>6582.4083360000004</v>
      </c>
      <c r="O29">
        <f>(Corn!O29*1000)*(39.368)/1000000</f>
        <v>22603.570248</v>
      </c>
      <c r="P29">
        <f>Corn!P29</f>
        <v>5908466558</v>
      </c>
      <c r="Q29">
        <f>Corn!Q29</f>
        <v>272958</v>
      </c>
      <c r="R29">
        <f>Corn!R29</f>
        <v>31870560107975.699</v>
      </c>
      <c r="S29">
        <f>Corn!S29</f>
        <v>8577.5529999999999</v>
      </c>
      <c r="T29">
        <f>Corn!T29</f>
        <v>70.406999999999996</v>
      </c>
      <c r="U29">
        <f>(Corn!U29*1000)*(39.368)/1000000</f>
        <v>8790.9137680000003</v>
      </c>
      <c r="V29" s="11">
        <v>59.2</v>
      </c>
      <c r="W29" s="22">
        <v>95.5</v>
      </c>
    </row>
    <row r="30" spans="1:23" x14ac:dyDescent="0.3">
      <c r="A30">
        <v>1998</v>
      </c>
      <c r="B30">
        <f>Corn!B30</f>
        <v>90.744613647460938</v>
      </c>
      <c r="C30">
        <f>Corn!C30</f>
        <v>95.42041015625</v>
      </c>
      <c r="D30">
        <f>(Corn!D30*1000)*(39.368)/1000000</f>
        <v>1307.8049599999999</v>
      </c>
      <c r="E30">
        <f>(Corn!E30*1000)*(39.368)/1000000</f>
        <v>9758.6185760000008</v>
      </c>
      <c r="F30">
        <f>(Corn!F30*1000)*(39.368)/1000000</f>
        <v>18.817903999999999</v>
      </c>
      <c r="G30">
        <f>(Corn!G30*1000)*(39.368)/1000000</f>
        <v>11085.24144</v>
      </c>
      <c r="H30">
        <f>(Corn!H30*1000)*(39.368)/1000000</f>
        <v>1984.1865680000001</v>
      </c>
      <c r="I30">
        <f>(Corn!I30*1000)*(39.368)/1000000</f>
        <v>5449.7909760000002</v>
      </c>
      <c r="J30">
        <f>(Corn!J30*1000)*(39.368)/1000000</f>
        <v>1864.3110079999999</v>
      </c>
      <c r="K30">
        <f>(Corn!K30*1000)*(39.368)/1000000</f>
        <v>7314.1019839999999</v>
      </c>
      <c r="L30">
        <f>(Corn!L30*1000)*(39.368)/1000000</f>
        <v>1786.952888</v>
      </c>
      <c r="M30">
        <f>Corn!M30</f>
        <v>1.94</v>
      </c>
      <c r="N30">
        <f>(Corn!N30*1000)*(39.368)/1000000</f>
        <v>7533.5785839999999</v>
      </c>
      <c r="O30">
        <f>(Corn!O30*1000)*(39.368)/1000000</f>
        <v>23849.33124</v>
      </c>
      <c r="P30">
        <f>Corn!P30</f>
        <v>5994040064</v>
      </c>
      <c r="Q30">
        <f>Corn!Q30</f>
        <v>276154</v>
      </c>
      <c r="R30">
        <f>Corn!R30</f>
        <v>31733749169046.699</v>
      </c>
      <c r="S30">
        <f>Corn!S30</f>
        <v>9062.8169999999991</v>
      </c>
      <c r="T30">
        <f>Corn!T30</f>
        <v>70.966999999999999</v>
      </c>
      <c r="U30">
        <f>(Corn!U30*1000)*(39.368)/1000000</f>
        <v>9298.288552</v>
      </c>
      <c r="V30" s="11">
        <v>60.4</v>
      </c>
      <c r="W30" s="22">
        <v>65.2</v>
      </c>
    </row>
    <row r="31" spans="1:23" x14ac:dyDescent="0.3">
      <c r="A31">
        <v>1999</v>
      </c>
      <c r="B31">
        <f>Corn!B31</f>
        <v>90.397735595703125</v>
      </c>
      <c r="C31">
        <f>Corn!C31</f>
        <v>104.23922729492188</v>
      </c>
      <c r="D31">
        <f>(Corn!D31*1000)*(39.368)/1000000</f>
        <v>1786.952888</v>
      </c>
      <c r="E31">
        <f>(Corn!E31*1000)*(39.368)/1000000</f>
        <v>9430.5650320000004</v>
      </c>
      <c r="F31">
        <f>(Corn!F31*1000)*(39.368)/1000000</f>
        <v>14.763</v>
      </c>
      <c r="G31">
        <f>(Corn!G31*1000)*(39.368)/1000000</f>
        <v>11232.280919999999</v>
      </c>
      <c r="H31">
        <f>(Corn!H31*1000)*(39.368)/1000000</f>
        <v>1936.5512880000001</v>
      </c>
      <c r="I31">
        <f>(Corn!I31*1000)*(39.368)/1000000</f>
        <v>5639.8203119999998</v>
      </c>
      <c r="J31">
        <f>(Corn!J31*1000)*(39.368)/1000000</f>
        <v>1938.362216</v>
      </c>
      <c r="K31">
        <f>(Corn!K31*1000)*(39.368)/1000000</f>
        <v>7578.1825280000003</v>
      </c>
      <c r="L31">
        <f>(Corn!L31*1000)*(39.368)/1000000</f>
        <v>1717.547104</v>
      </c>
      <c r="M31">
        <f>Corn!M31</f>
        <v>1.82</v>
      </c>
      <c r="N31">
        <f>(Corn!N31*1000)*(39.368)/1000000</f>
        <v>7653.4147759999996</v>
      </c>
      <c r="O31">
        <f>(Corn!O31*1000)*(39.368)/1000000</f>
        <v>23938.972175999999</v>
      </c>
      <c r="P31">
        <f>Corn!P31</f>
        <v>6078404337</v>
      </c>
      <c r="Q31">
        <f>Corn!Q31</f>
        <v>279328</v>
      </c>
      <c r="R31">
        <f>Corn!R31</f>
        <v>32782827769545.301</v>
      </c>
      <c r="S31">
        <f>Corn!S31</f>
        <v>9631.1720000000005</v>
      </c>
      <c r="T31">
        <f>Corn!T31</f>
        <v>72.001000000000005</v>
      </c>
      <c r="U31">
        <f>(Corn!U31*1000)*(39.368)/1000000</f>
        <v>9514.7338159999999</v>
      </c>
      <c r="V31" s="11">
        <v>61.7</v>
      </c>
      <c r="W31" s="22">
        <v>97</v>
      </c>
    </row>
    <row r="32" spans="1:23" x14ac:dyDescent="0.3">
      <c r="A32">
        <v>2000</v>
      </c>
      <c r="B32">
        <f>Corn!B32</f>
        <v>95.705078125</v>
      </c>
      <c r="C32">
        <f>Corn!C32</f>
        <v>110.65268707275391</v>
      </c>
      <c r="D32">
        <f>(Corn!D32*1000)*(39.368)/1000000</f>
        <v>1717.547104</v>
      </c>
      <c r="E32">
        <f>(Corn!E32*1000)*(39.368)/1000000</f>
        <v>9914.9882720000005</v>
      </c>
      <c r="F32">
        <f>(Corn!F32*1000)*(39.368)/1000000</f>
        <v>6.8106640000000001</v>
      </c>
      <c r="G32">
        <f>(Corn!G32*1000)*(39.368)/1000000</f>
        <v>11639.34604</v>
      </c>
      <c r="H32">
        <f>(Corn!H32*1000)*(39.368)/1000000</f>
        <v>1941.354184</v>
      </c>
      <c r="I32">
        <f>(Corn!I32*1000)*(39.368)/1000000</f>
        <v>5818.865976</v>
      </c>
      <c r="J32">
        <f>(Corn!J32*1000)*(39.368)/1000000</f>
        <v>1980.0135600000001</v>
      </c>
      <c r="K32">
        <f>(Corn!K32*1000)*(39.368)/1000000</f>
        <v>7798.8795360000004</v>
      </c>
      <c r="L32">
        <f>(Corn!L32*1000)*(39.368)/1000000</f>
        <v>1899.11232</v>
      </c>
      <c r="M32">
        <f>Corn!M32</f>
        <v>1.85</v>
      </c>
      <c r="N32">
        <f>(Corn!N32*1000)*(39.368)/1000000</f>
        <v>6894.7540479999998</v>
      </c>
      <c r="O32">
        <f>(Corn!O32*1000)*(39.368)/1000000</f>
        <v>23287.667984</v>
      </c>
      <c r="P32">
        <f>Corn!P32</f>
        <v>6161884811</v>
      </c>
      <c r="Q32">
        <f>Corn!Q32</f>
        <v>282398</v>
      </c>
      <c r="R32">
        <f>Corn!R32</f>
        <v>33898156427205.898</v>
      </c>
      <c r="S32">
        <f>Corn!S32</f>
        <v>10250.951999999999</v>
      </c>
      <c r="T32">
        <f>Corn!T32</f>
        <v>73.822000000000003</v>
      </c>
      <c r="U32">
        <f>(Corn!U32*1000)*(39.368)/1000000</f>
        <v>9740.2337200000002</v>
      </c>
      <c r="V32" s="11">
        <v>63.1</v>
      </c>
      <c r="W32" s="22">
        <v>148.5</v>
      </c>
    </row>
    <row r="33" spans="1:23" x14ac:dyDescent="0.3">
      <c r="A33">
        <v>2001</v>
      </c>
      <c r="B33">
        <f>Corn!B33</f>
        <v>97.411094665527344</v>
      </c>
      <c r="C33">
        <f>Corn!C33</f>
        <v>117.24627685546875</v>
      </c>
      <c r="D33">
        <f>(Corn!D33*1000)*(39.368)/1000000</f>
        <v>1899.11232</v>
      </c>
      <c r="E33">
        <f>(Corn!E33*1000)*(39.368)/1000000</f>
        <v>9502.5297360000004</v>
      </c>
      <c r="F33">
        <f>(Corn!F33*1000)*(39.368)/1000000</f>
        <v>10.156943999999999</v>
      </c>
      <c r="G33">
        <f>(Corn!G33*1000)*(39.368)/1000000</f>
        <v>11411.799000000001</v>
      </c>
      <c r="H33">
        <f>(Corn!H33*1000)*(39.368)/1000000</f>
        <v>1904.7419440000001</v>
      </c>
      <c r="I33">
        <f>(Corn!I33*1000)*(39.368)/1000000</f>
        <v>5845.1638000000003</v>
      </c>
      <c r="J33">
        <f>(Corn!J33*1000)*(39.368)/1000000</f>
        <v>2065.4814879999999</v>
      </c>
      <c r="K33">
        <f>(Corn!K33*1000)*(39.368)/1000000</f>
        <v>7910.6452879999997</v>
      </c>
      <c r="L33">
        <f>(Corn!L33*1000)*(39.368)/1000000</f>
        <v>1596.4117679999999</v>
      </c>
      <c r="M33">
        <f>Corn!M33</f>
        <v>1.97</v>
      </c>
      <c r="N33">
        <f>(Corn!N33*1000)*(39.368)/1000000</f>
        <v>5960.6695120000004</v>
      </c>
      <c r="O33">
        <f>(Corn!O33*1000)*(39.368)/1000000</f>
        <v>23685.835935999999</v>
      </c>
      <c r="P33">
        <f>Corn!P33</f>
        <v>6245112906</v>
      </c>
      <c r="Q33">
        <f>Corn!Q33</f>
        <v>285225</v>
      </c>
      <c r="R33">
        <f>Corn!R33</f>
        <v>33690417699612.699</v>
      </c>
      <c r="S33">
        <f>Corn!S33</f>
        <v>10581.929</v>
      </c>
      <c r="T33">
        <f>Corn!T33</f>
        <v>75.302000000000007</v>
      </c>
      <c r="U33">
        <f>(Corn!U33*1000)*(39.368)/1000000</f>
        <v>9815.3872319999991</v>
      </c>
      <c r="V33" s="11">
        <v>65.099999999999994</v>
      </c>
      <c r="W33" s="22">
        <v>121.2</v>
      </c>
    </row>
    <row r="34" spans="1:23" x14ac:dyDescent="0.3">
      <c r="A34">
        <v>2002</v>
      </c>
      <c r="B34">
        <f>Corn!B34</f>
        <v>99.173980712890625</v>
      </c>
      <c r="C34">
        <f>Corn!C34</f>
        <v>103.79281616210938</v>
      </c>
      <c r="D34">
        <f>(Corn!D34*1000)*(39.368)/1000000</f>
        <v>1596.4117679999999</v>
      </c>
      <c r="E34">
        <f>(Corn!E34*1000)*(39.368)/1000000</f>
        <v>8966.7312559999991</v>
      </c>
      <c r="F34">
        <f>(Corn!F34*1000)*(39.368)/1000000</f>
        <v>14.448055999999999</v>
      </c>
      <c r="G34">
        <f>(Corn!G34*1000)*(39.368)/1000000</f>
        <v>10577.59108</v>
      </c>
      <c r="H34">
        <f>(Corn!H34*1000)*(39.368)/1000000</f>
        <v>1587.8689119999999</v>
      </c>
      <c r="I34">
        <f>(Corn!I34*1000)*(39.368)/1000000</f>
        <v>5544.5103840000002</v>
      </c>
      <c r="J34">
        <f>(Corn!J34*1000)*(39.368)/1000000</f>
        <v>2358.5368800000001</v>
      </c>
      <c r="K34">
        <f>(Corn!K34*1000)*(39.368)/1000000</f>
        <v>7903.0472639999998</v>
      </c>
      <c r="L34">
        <f>(Corn!L34*1000)*(39.368)/1000000</f>
        <v>1086.674904</v>
      </c>
      <c r="M34">
        <f>Corn!M34</f>
        <v>2.3199999999999998</v>
      </c>
      <c r="N34">
        <f>(Corn!N34*1000)*(39.368)/1000000</f>
        <v>4997.4526560000004</v>
      </c>
      <c r="O34">
        <f>(Corn!O34*1000)*(39.368)/1000000</f>
        <v>23782.602480000001</v>
      </c>
      <c r="P34">
        <f>Corn!P34</f>
        <v>6327557399</v>
      </c>
      <c r="Q34">
        <f>Corn!Q34</f>
        <v>287955</v>
      </c>
      <c r="R34">
        <f>Corn!R34</f>
        <v>34991525564916.898</v>
      </c>
      <c r="S34">
        <f>Corn!S34</f>
        <v>10929.108</v>
      </c>
      <c r="T34">
        <f>Corn!T34</f>
        <v>76.290999999999997</v>
      </c>
      <c r="U34">
        <f>(Corn!U34*1000)*(39.368)/1000000</f>
        <v>9490.9161760000006</v>
      </c>
      <c r="V34" s="11">
        <v>66.3</v>
      </c>
      <c r="W34" s="22">
        <v>104.5</v>
      </c>
    </row>
    <row r="35" spans="1:23" x14ac:dyDescent="0.3">
      <c r="A35">
        <v>2003</v>
      </c>
      <c r="B35">
        <f>Corn!B35</f>
        <v>96.531166076660156</v>
      </c>
      <c r="C35">
        <f>Corn!C35</f>
        <v>96.601188659667969</v>
      </c>
      <c r="D35">
        <f>(Corn!D35*1000)*(39.368)/1000000</f>
        <v>1086.674904</v>
      </c>
      <c r="E35">
        <f>(Corn!E35*1000)*(39.368)/1000000</f>
        <v>10087.223271999999</v>
      </c>
      <c r="F35">
        <f>(Corn!F35*1000)*(39.368)/1000000</f>
        <v>14.093743999999999</v>
      </c>
      <c r="G35">
        <f>(Corn!G35*1000)*(39.368)/1000000</f>
        <v>11187.99192</v>
      </c>
      <c r="H35">
        <f>(Corn!H35*1000)*(39.368)/1000000</f>
        <v>1899.8209440000001</v>
      </c>
      <c r="I35">
        <f>(Corn!I35*1000)*(39.368)/1000000</f>
        <v>5777.6083120000003</v>
      </c>
      <c r="J35">
        <f>(Corn!J35*1000)*(39.368)/1000000</f>
        <v>2552.4636479999999</v>
      </c>
      <c r="K35">
        <f>(Corn!K35*1000)*(39.368)/1000000</f>
        <v>8330.0719599999993</v>
      </c>
      <c r="L35">
        <f>(Corn!L35*1000)*(39.368)/1000000</f>
        <v>958.09901600000001</v>
      </c>
      <c r="M35">
        <f>Corn!M35</f>
        <v>2.42</v>
      </c>
      <c r="N35">
        <f>(Corn!N35*1000)*(39.368)/1000000</f>
        <v>4121.8689679999998</v>
      </c>
      <c r="O35">
        <f>(Corn!O35*1000)*(39.368)/1000000</f>
        <v>24704.679776000001</v>
      </c>
      <c r="P35">
        <f>Corn!P35</f>
        <v>6409750441</v>
      </c>
      <c r="Q35">
        <f>Corn!Q35</f>
        <v>290626</v>
      </c>
      <c r="R35">
        <f>Corn!R35</f>
        <v>39243276986261.898</v>
      </c>
      <c r="S35">
        <f>Corn!S35</f>
        <v>11456.45</v>
      </c>
      <c r="T35">
        <f>Corn!T35</f>
        <v>77.894000000000005</v>
      </c>
      <c r="U35">
        <f>(Corn!U35*1000)*(39.368)/1000000</f>
        <v>10229.892904</v>
      </c>
      <c r="V35" s="11">
        <v>67.7</v>
      </c>
      <c r="W35" s="22">
        <v>124.2</v>
      </c>
    </row>
    <row r="36" spans="1:23" x14ac:dyDescent="0.3">
      <c r="A36">
        <v>2004</v>
      </c>
      <c r="B36">
        <f>Corn!B36</f>
        <v>93.627532958984375</v>
      </c>
      <c r="C36">
        <f>Corn!C36</f>
        <v>92.980888366699219</v>
      </c>
      <c r="D36">
        <f>(Corn!D36*1000)*(39.368)/1000000</f>
        <v>958.09901600000001</v>
      </c>
      <c r="E36">
        <f>(Corn!E36*1000)*(39.368)/1000000</f>
        <v>11805.518367999999</v>
      </c>
      <c r="F36">
        <f>(Corn!F36*1000)*(39.368)/1000000</f>
        <v>10.8262</v>
      </c>
      <c r="G36">
        <f>(Corn!G36*1000)*(39.368)/1000000</f>
        <v>12774.443584000001</v>
      </c>
      <c r="H36">
        <f>(Corn!H36*1000)*(39.368)/1000000</f>
        <v>1818.0536079999999</v>
      </c>
      <c r="I36">
        <f>(Corn!I36*1000)*(39.368)/1000000</f>
        <v>6131.6053680000005</v>
      </c>
      <c r="J36">
        <f>(Corn!J36*1000)*(39.368)/1000000</f>
        <v>2710.8411120000001</v>
      </c>
      <c r="K36">
        <f>(Corn!K36*1000)*(39.368)/1000000</f>
        <v>8842.4464800000005</v>
      </c>
      <c r="L36">
        <f>(Corn!L36*1000)*(39.368)/1000000</f>
        <v>2113.9434959999999</v>
      </c>
      <c r="M36">
        <f>Corn!M36</f>
        <v>2.06</v>
      </c>
      <c r="N36">
        <f>(Corn!N36*1000)*(39.368)/1000000</f>
        <v>5163.349408</v>
      </c>
      <c r="O36">
        <f>(Corn!O36*1000)*(39.368)/1000000</f>
        <v>28223.076671999999</v>
      </c>
      <c r="P36">
        <f>Corn!P36</f>
        <v>6492769815</v>
      </c>
      <c r="Q36">
        <f>Corn!Q36</f>
        <v>293262</v>
      </c>
      <c r="R36">
        <f>Corn!R36</f>
        <v>44225384449869.797</v>
      </c>
      <c r="S36">
        <f>Corn!S36</f>
        <v>12217.196</v>
      </c>
      <c r="T36">
        <f>Corn!T36</f>
        <v>79.826999999999998</v>
      </c>
      <c r="U36">
        <f>(Corn!U36*1000)*(39.368)/1000000</f>
        <v>10660.500088000001</v>
      </c>
      <c r="V36" s="11">
        <v>70</v>
      </c>
      <c r="W36" s="22">
        <v>180.3</v>
      </c>
    </row>
    <row r="37" spans="1:23" x14ac:dyDescent="0.3">
      <c r="A37">
        <v>2005</v>
      </c>
      <c r="B37">
        <f>Corn!B37</f>
        <v>94.789031982421875</v>
      </c>
      <c r="C37">
        <f>Corn!C37</f>
        <v>91.054237365722656</v>
      </c>
      <c r="D37">
        <f>(Corn!D37*1000)*(39.368)/1000000</f>
        <v>2113.9434959999999</v>
      </c>
      <c r="E37">
        <f>(Corn!E37*1000)*(39.368)/1000000</f>
        <v>11112.129784000001</v>
      </c>
      <c r="F37">
        <f>(Corn!F37*1000)*(39.368)/1000000</f>
        <v>8.8184319999999996</v>
      </c>
      <c r="G37">
        <f>(Corn!G37*1000)*(39.368)/1000000</f>
        <v>13234.891712000001</v>
      </c>
      <c r="H37">
        <f>(Corn!H37*1000)*(39.368)/1000000</f>
        <v>2133.7849679999999</v>
      </c>
      <c r="I37">
        <f>(Corn!I37*1000)*(39.368)/1000000</f>
        <v>6111.2521120000001</v>
      </c>
      <c r="J37">
        <f>(Corn!J37*1000)*(39.368)/1000000</f>
        <v>3022.7144079999998</v>
      </c>
      <c r="K37">
        <f>(Corn!K37*1000)*(39.368)/1000000</f>
        <v>9133.9665199999999</v>
      </c>
      <c r="L37">
        <f>(Corn!L37*1000)*(39.368)/1000000</f>
        <v>1967.140224</v>
      </c>
      <c r="M37">
        <f>Corn!M37</f>
        <v>2</v>
      </c>
      <c r="N37">
        <f>(Corn!N37*1000)*(39.368)/1000000</f>
        <v>4858.7198239999998</v>
      </c>
      <c r="O37">
        <f>(Corn!O37*1000)*(39.368)/1000000</f>
        <v>27553.505728</v>
      </c>
      <c r="P37">
        <f>Corn!P37</f>
        <v>6575841506</v>
      </c>
      <c r="Q37">
        <f>Corn!Q37</f>
        <v>295993</v>
      </c>
      <c r="R37">
        <f>Corn!R37</f>
        <v>47900489808168.898</v>
      </c>
      <c r="S37">
        <f>Corn!S37</f>
        <v>13039.197</v>
      </c>
      <c r="T37">
        <f>Corn!T37</f>
        <v>82.126999999999995</v>
      </c>
      <c r="U37">
        <f>(Corn!U37*1000)*(39.368)/1000000</f>
        <v>11267.751488</v>
      </c>
      <c r="V37" s="11">
        <v>71.7</v>
      </c>
      <c r="W37" s="22">
        <v>198.5</v>
      </c>
    </row>
    <row r="38" spans="1:23" x14ac:dyDescent="0.3">
      <c r="A38">
        <v>2006</v>
      </c>
      <c r="B38">
        <f>Corn!B38</f>
        <v>92.982452392578125</v>
      </c>
      <c r="C38">
        <f>Corn!C38</f>
        <v>84.098709106445313</v>
      </c>
      <c r="D38">
        <f>(Corn!D38*1000)*(39.368)/1000000</f>
        <v>1967.140224</v>
      </c>
      <c r="E38">
        <f>(Corn!E38*1000)*(39.368)/1000000</f>
        <v>10531.058104</v>
      </c>
      <c r="F38">
        <f>(Corn!F38*1000)*(39.368)/1000000</f>
        <v>11.967872</v>
      </c>
      <c r="G38">
        <f>(Corn!G38*1000)*(39.368)/1000000</f>
        <v>12510.1662</v>
      </c>
      <c r="H38">
        <f>(Corn!H38*1000)*(39.368)/1000000</f>
        <v>2125.360216</v>
      </c>
      <c r="I38">
        <f>(Corn!I38*1000)*(39.368)/1000000</f>
        <v>5535.298272</v>
      </c>
      <c r="J38">
        <f>(Corn!J38*1000)*(39.368)/1000000</f>
        <v>3545.8757599999999</v>
      </c>
      <c r="K38">
        <f>(Corn!K38*1000)*(39.368)/1000000</f>
        <v>9081.1740320000008</v>
      </c>
      <c r="L38">
        <f>(Corn!L38*1000)*(39.368)/1000000</f>
        <v>1303.631952</v>
      </c>
      <c r="M38">
        <f>Corn!M38</f>
        <v>3.04</v>
      </c>
      <c r="N38">
        <f>(Corn!N38*1000)*(39.368)/1000000</f>
        <v>4281.5062079999998</v>
      </c>
      <c r="O38">
        <f>(Corn!O38*1000)*(39.368)/1000000</f>
        <v>28159.891032</v>
      </c>
      <c r="P38">
        <f>Corn!P38</f>
        <v>6659977025</v>
      </c>
      <c r="Q38">
        <f>Corn!Q38</f>
        <v>298818</v>
      </c>
      <c r="R38">
        <f>Corn!R38</f>
        <v>51923507284496</v>
      </c>
      <c r="S38">
        <f>Corn!S38</f>
        <v>13815.583000000001</v>
      </c>
      <c r="T38">
        <f>Corn!T38</f>
        <v>84.44</v>
      </c>
      <c r="U38">
        <f>(Corn!U38*1000)*(39.368)/1000000</f>
        <v>11206.534248</v>
      </c>
      <c r="V38" s="11">
        <v>73.400000000000006</v>
      </c>
      <c r="W38" s="22">
        <v>160.6</v>
      </c>
    </row>
    <row r="39" spans="1:23" x14ac:dyDescent="0.3">
      <c r="A39">
        <v>2007</v>
      </c>
      <c r="B39">
        <f>Corn!B39</f>
        <v>89.185111999511719</v>
      </c>
      <c r="C39">
        <f>Corn!C39</f>
        <v>79.869598388671875</v>
      </c>
      <c r="D39">
        <f>(Corn!D39*1000)*(39.368)/1000000</f>
        <v>1303.631952</v>
      </c>
      <c r="E39">
        <f>(Corn!E39*1000)*(39.368)/1000000</f>
        <v>13037.776136</v>
      </c>
      <c r="F39">
        <f>(Corn!F39*1000)*(39.368)/1000000</f>
        <v>20.038312000000001</v>
      </c>
      <c r="G39">
        <f>(Corn!G39*1000)*(39.368)/1000000</f>
        <v>14361.446400000001</v>
      </c>
      <c r="H39">
        <f>(Corn!H39*1000)*(39.368)/1000000</f>
        <v>2437.3909840000001</v>
      </c>
      <c r="I39">
        <f>(Corn!I39*1000)*(39.368)/1000000</f>
        <v>5852.9980320000004</v>
      </c>
      <c r="J39">
        <f>(Corn!J39*1000)*(39.368)/1000000</f>
        <v>4446.9305439999998</v>
      </c>
      <c r="K39">
        <f>(Corn!K39*1000)*(39.368)/1000000</f>
        <v>10299.928576</v>
      </c>
      <c r="L39">
        <f>(Corn!L39*1000)*(39.368)/1000000</f>
        <v>1624.1268399999999</v>
      </c>
      <c r="M39">
        <f>Corn!M39</f>
        <v>4.2</v>
      </c>
      <c r="N39">
        <f>(Corn!N39*1000)*(39.368)/1000000</f>
        <v>4935.2512159999997</v>
      </c>
      <c r="O39">
        <f>(Corn!O39*1000)*(39.368)/1000000</f>
        <v>31433.852016000001</v>
      </c>
      <c r="P39">
        <f>Corn!P39</f>
        <v>6744489399</v>
      </c>
      <c r="Q39">
        <f>Corn!Q39</f>
        <v>301696</v>
      </c>
      <c r="R39">
        <f>Corn!R39</f>
        <v>58525785801185.797</v>
      </c>
      <c r="S39">
        <f>Corn!S39</f>
        <v>14474.227000000001</v>
      </c>
      <c r="T39">
        <f>Corn!T39</f>
        <v>86.606999999999999</v>
      </c>
      <c r="U39">
        <f>(Corn!U39*1000)*(39.368)/1000000</f>
        <v>12737.31956</v>
      </c>
      <c r="V39" s="11">
        <v>76.3</v>
      </c>
      <c r="W39" s="22">
        <v>159.1</v>
      </c>
    </row>
    <row r="40" spans="1:23" x14ac:dyDescent="0.3">
      <c r="A40">
        <v>2008</v>
      </c>
      <c r="B40">
        <f>Corn!B40</f>
        <v>92.104118347167969</v>
      </c>
      <c r="C40">
        <f>Corn!C40</f>
        <v>84.344528198242188</v>
      </c>
      <c r="D40">
        <f>(Corn!D40*1000)*(39.368)/1000000</f>
        <v>1624.1268399999999</v>
      </c>
      <c r="E40">
        <f>(Corn!E40*1000)*(39.368)/1000000</f>
        <v>12043.104248</v>
      </c>
      <c r="F40">
        <f>(Corn!F40*1000)*(39.368)/1000000</f>
        <v>13.542592000000001</v>
      </c>
      <c r="G40">
        <f>(Corn!G40*1000)*(39.368)/1000000</f>
        <v>13680.77368</v>
      </c>
      <c r="H40">
        <f>(Corn!H40*1000)*(39.368)/1000000</f>
        <v>1848.91812</v>
      </c>
      <c r="I40">
        <f>(Corn!I40*1000)*(39.368)/1000000</f>
        <v>5128.0756799999999</v>
      </c>
      <c r="J40">
        <f>(Corn!J40*1000)*(39.368)/1000000</f>
        <v>5030.4824079999999</v>
      </c>
      <c r="K40">
        <f>(Corn!K40*1000)*(39.368)/1000000</f>
        <v>10158.558088</v>
      </c>
      <c r="L40">
        <f>(Corn!L40*1000)*(39.368)/1000000</f>
        <v>1673.297472</v>
      </c>
      <c r="M40">
        <f>Corn!M40</f>
        <v>4.0599999999999996</v>
      </c>
      <c r="N40">
        <f>(Corn!N40*1000)*(39.368)/1000000</f>
        <v>5355.9770319999998</v>
      </c>
      <c r="O40">
        <f>(Corn!O40*1000)*(39.368)/1000000</f>
        <v>31742.654608000001</v>
      </c>
      <c r="P40">
        <f>Corn!P40</f>
        <v>6830513541</v>
      </c>
      <c r="Q40">
        <f>Corn!Q40</f>
        <v>304543</v>
      </c>
      <c r="R40">
        <f>Corn!R40</f>
        <v>64311729364641.297</v>
      </c>
      <c r="S40">
        <f>Corn!S40</f>
        <v>14769.861999999999</v>
      </c>
      <c r="T40">
        <f>Corn!T40</f>
        <v>89.17</v>
      </c>
      <c r="U40">
        <f>(Corn!U40*1000)*(39.368)/1000000</f>
        <v>12007.476208</v>
      </c>
      <c r="V40" s="11">
        <v>80.400000000000006</v>
      </c>
      <c r="W40" s="22">
        <v>113.6</v>
      </c>
    </row>
    <row r="41" spans="1:23" x14ac:dyDescent="0.3">
      <c r="A41">
        <v>2009</v>
      </c>
      <c r="B41">
        <f>Corn!B41</f>
        <v>85.875267028808594</v>
      </c>
      <c r="C41">
        <f>Corn!C41</f>
        <v>82.045845031738281</v>
      </c>
      <c r="D41">
        <f>(Corn!D41*1000)*(39.368)/1000000</f>
        <v>1673.297472</v>
      </c>
      <c r="E41">
        <f>(Corn!E41*1000)*(39.368)/1000000</f>
        <v>13067.065928</v>
      </c>
      <c r="F41">
        <f>(Corn!F41*1000)*(39.368)/1000000</f>
        <v>8.3460160000000005</v>
      </c>
      <c r="G41">
        <f>(Corn!G41*1000)*(39.368)/1000000</f>
        <v>14748.709416</v>
      </c>
      <c r="H41">
        <f>(Corn!H41*1000)*(39.368)/1000000</f>
        <v>1979.02936</v>
      </c>
      <c r="I41">
        <f>(Corn!I41*1000)*(39.368)/1000000</f>
        <v>5095.5577119999998</v>
      </c>
      <c r="J41">
        <f>(Corn!J41*1000)*(39.368)/1000000</f>
        <v>5966.3385040000003</v>
      </c>
      <c r="K41">
        <f>(Corn!K41*1000)*(39.368)/1000000</f>
        <v>11061.896215999999</v>
      </c>
      <c r="L41">
        <f>(Corn!L41*1000)*(39.368)/1000000</f>
        <v>1707.7838400000001</v>
      </c>
      <c r="M41">
        <f>Corn!M41</f>
        <v>3.55</v>
      </c>
      <c r="N41">
        <f>(Corn!N41*1000)*(39.368)/1000000</f>
        <v>5176.3014800000001</v>
      </c>
      <c r="O41">
        <f>(Corn!O41*1000)*(39.368)/1000000</f>
        <v>32821.731487999998</v>
      </c>
      <c r="P41">
        <f>Corn!P41</f>
        <v>6916589116</v>
      </c>
      <c r="Q41">
        <f>Corn!Q41</f>
        <v>307240</v>
      </c>
      <c r="R41">
        <f>Corn!R41</f>
        <v>60982255960004.398</v>
      </c>
      <c r="S41">
        <f>Corn!S41</f>
        <v>14478.066999999999</v>
      </c>
      <c r="T41">
        <f>Corn!T41</f>
        <v>88.921000000000006</v>
      </c>
      <c r="U41">
        <f>(Corn!U41*1000)*(39.368)/1000000</f>
        <v>13040.925576</v>
      </c>
      <c r="V41" s="11">
        <v>81.900000000000006</v>
      </c>
      <c r="W41" s="22">
        <v>12.1</v>
      </c>
    </row>
    <row r="42" spans="1:23" x14ac:dyDescent="0.3">
      <c r="A42">
        <v>2010</v>
      </c>
      <c r="B42">
        <f>Corn!B42</f>
        <v>82.576629638671875</v>
      </c>
      <c r="C42">
        <f>Corn!C42</f>
        <v>78.358200073242188</v>
      </c>
      <c r="D42">
        <f>(Corn!D42*1000)*(39.368)/1000000</f>
        <v>1707.7838400000001</v>
      </c>
      <c r="E42">
        <f>(Corn!E42*1000)*(39.368)/1000000</f>
        <v>12425.249424</v>
      </c>
      <c r="F42">
        <f>(Corn!F42*1000)*(39.368)/1000000</f>
        <v>27.675704</v>
      </c>
      <c r="G42">
        <f>(Corn!G42*1000)*(39.368)/1000000</f>
        <v>14160.708968000001</v>
      </c>
      <c r="H42">
        <f>(Corn!H42*1000)*(39.368)/1000000</f>
        <v>1830.926944</v>
      </c>
      <c r="I42">
        <f>(Corn!I42*1000)*(39.368)/1000000</f>
        <v>4770.1024559999996</v>
      </c>
      <c r="J42">
        <f>(Corn!J42*1000)*(39.368)/1000000</f>
        <v>6432.0225760000003</v>
      </c>
      <c r="K42">
        <f>(Corn!K42*1000)*(39.368)/1000000</f>
        <v>11202.125032</v>
      </c>
      <c r="L42">
        <f>(Corn!L42*1000)*(39.368)/1000000</f>
        <v>1127.6569919999999</v>
      </c>
      <c r="M42">
        <f>Corn!M42</f>
        <v>5.18</v>
      </c>
      <c r="N42">
        <f>(Corn!N42*1000)*(39.368)/1000000</f>
        <v>4521.7297440000002</v>
      </c>
      <c r="O42">
        <f>(Corn!O42*1000)*(39.368)/1000000</f>
        <v>33430.124559999997</v>
      </c>
      <c r="P42">
        <f>Corn!P42</f>
        <v>7001266876</v>
      </c>
      <c r="Q42">
        <f>Corn!Q42</f>
        <v>309839</v>
      </c>
      <c r="R42">
        <f>Corn!R42</f>
        <v>66811191491614.898</v>
      </c>
      <c r="S42">
        <f>Corn!S42</f>
        <v>15048.971</v>
      </c>
      <c r="T42">
        <f>Corn!T42</f>
        <v>90.513999999999996</v>
      </c>
      <c r="U42">
        <f>(Corn!U42*1000)*(39.368)/1000000</f>
        <v>13033.051976000001</v>
      </c>
      <c r="V42" s="11">
        <v>82.5</v>
      </c>
      <c r="W42" s="22">
        <v>101.5</v>
      </c>
    </row>
    <row r="43" spans="1:23" x14ac:dyDescent="0.3">
      <c r="A43">
        <v>2011</v>
      </c>
      <c r="B43">
        <f>Corn!B43</f>
        <v>83.533126831054688</v>
      </c>
      <c r="C43">
        <f>Corn!C43</f>
        <v>83.055450439453125</v>
      </c>
      <c r="D43">
        <f>(Corn!D43*1000)*(39.368)/1000000</f>
        <v>1127.6569919999999</v>
      </c>
      <c r="E43">
        <f>(Corn!E43*1000)*(39.368)/1000000</f>
        <v>12313.877352</v>
      </c>
      <c r="F43">
        <f>(Corn!F43*1000)*(39.368)/1000000</f>
        <v>29.368528000000001</v>
      </c>
      <c r="G43">
        <f>(Corn!G43*1000)*(39.368)/1000000</f>
        <v>13470.902872000001</v>
      </c>
      <c r="H43">
        <f>(Corn!H43*1000)*(39.368)/1000000</f>
        <v>1539.1313279999999</v>
      </c>
      <c r="I43">
        <f>(Corn!I43*1000)*(39.368)/1000000</f>
        <v>4512.0452160000004</v>
      </c>
      <c r="J43">
        <f>(Corn!J43*1000)*(39.368)/1000000</f>
        <v>6430.7234319999998</v>
      </c>
      <c r="K43">
        <f>(Corn!K43*1000)*(39.368)/1000000</f>
        <v>10942.768647999999</v>
      </c>
      <c r="L43">
        <f>(Corn!L43*1000)*(39.368)/1000000</f>
        <v>989.00289599999996</v>
      </c>
      <c r="M43">
        <f>Corn!M43</f>
        <v>6.22</v>
      </c>
      <c r="N43">
        <f>(Corn!N43*1000)*(39.368)/1000000</f>
        <v>4836.2800639999996</v>
      </c>
      <c r="O43">
        <f>(Corn!O43*1000)*(39.368)/1000000</f>
        <v>35838.855640000002</v>
      </c>
      <c r="P43">
        <f>Corn!P43</f>
        <v>7087120034</v>
      </c>
      <c r="Q43">
        <f>Corn!Q43</f>
        <v>312295</v>
      </c>
      <c r="R43">
        <f>Corn!R43</f>
        <v>74309709353789.203</v>
      </c>
      <c r="S43">
        <f>Corn!S43</f>
        <v>15599.732</v>
      </c>
      <c r="T43">
        <f>Corn!T43</f>
        <v>92.804000000000002</v>
      </c>
      <c r="U43">
        <f>(Corn!U43*1000)*(39.368)/1000000</f>
        <v>12481.899976000001</v>
      </c>
      <c r="V43" s="11">
        <v>85.5</v>
      </c>
      <c r="W43" s="22">
        <v>116.7</v>
      </c>
    </row>
    <row r="44" spans="1:23" x14ac:dyDescent="0.3">
      <c r="A44">
        <v>2012</v>
      </c>
      <c r="B44">
        <f>Corn!B44</f>
        <v>86.908031463623047</v>
      </c>
      <c r="C44">
        <f>Corn!C44</f>
        <v>83.028944651285812</v>
      </c>
      <c r="D44">
        <f>(Corn!D44*1000)*(39.368)/1000000</f>
        <v>989.00289599999996</v>
      </c>
      <c r="E44">
        <f>(Corn!E44*1000)*(39.368)/1000000</f>
        <v>10755.022655999999</v>
      </c>
      <c r="F44">
        <f>(Corn!F44*1000)*(39.368)/1000000</f>
        <v>159.95218399999999</v>
      </c>
      <c r="G44">
        <f>(Corn!G44*1000)*(39.368)/1000000</f>
        <v>11903.977736000001</v>
      </c>
      <c r="H44">
        <f>(Corn!H44*1000)*(39.368)/1000000</f>
        <v>730.07956000000001</v>
      </c>
      <c r="I44">
        <f>(Corn!I44*1000)*(39.368)/1000000</f>
        <v>4308.5913920000003</v>
      </c>
      <c r="J44">
        <f>(Corn!J44*1000)*(39.368)/1000000</f>
        <v>6044.129672</v>
      </c>
      <c r="K44">
        <f>(Corn!K44*1000)*(39.368)/1000000</f>
        <v>10352.721063999999</v>
      </c>
      <c r="L44">
        <f>(Corn!L44*1000)*(39.368)/1000000</f>
        <v>821.17711199999997</v>
      </c>
      <c r="M44">
        <f>Corn!M44</f>
        <v>6.89</v>
      </c>
      <c r="N44">
        <f>(Corn!N44*1000)*(39.368)/1000000</f>
        <v>5729.2250400000003</v>
      </c>
      <c r="O44">
        <f>(Corn!O44*1000)*(39.368)/1000000</f>
        <v>35559.736519999999</v>
      </c>
      <c r="P44">
        <f>Corn!P44</f>
        <v>7176929184</v>
      </c>
      <c r="Q44">
        <f>Corn!Q44</f>
        <v>314725</v>
      </c>
      <c r="R44">
        <f>Corn!R44</f>
        <v>75960594595757</v>
      </c>
      <c r="S44">
        <f>Corn!S44</f>
        <v>16253.97</v>
      </c>
      <c r="T44">
        <f>Corn!T44</f>
        <v>94.534000000000006</v>
      </c>
      <c r="U44">
        <f>(Corn!U44*1000)*(39.368)/1000000</f>
        <v>11082.800624</v>
      </c>
      <c r="V44" s="11">
        <v>87.6</v>
      </c>
      <c r="W44" s="22">
        <v>125.8</v>
      </c>
    </row>
    <row r="45" spans="1:23" x14ac:dyDescent="0.3">
      <c r="A45">
        <v>2013</v>
      </c>
      <c r="B45">
        <f>Corn!B45</f>
        <v>89.235856374104813</v>
      </c>
      <c r="C45">
        <f>Corn!C45</f>
        <v>86.381656646728516</v>
      </c>
      <c r="D45">
        <f>(Corn!D45*1000)*(39.368)/1000000</f>
        <v>821.17711199999997</v>
      </c>
      <c r="E45">
        <f>(Corn!E45*1000)*(39.368)/1000000</f>
        <v>13830.608287999999</v>
      </c>
      <c r="F45">
        <f>(Corn!F45*1000)*(39.368)/1000000</f>
        <v>35.785511999999997</v>
      </c>
      <c r="G45">
        <f>(Corn!G45*1000)*(39.368)/1000000</f>
        <v>14687.570911999999</v>
      </c>
      <c r="H45">
        <f>(Corn!H45*1000)*(39.368)/1000000</f>
        <v>1920.7647199999999</v>
      </c>
      <c r="I45">
        <f>(Corn!I45*1000)*(39.368)/1000000</f>
        <v>5004.1452159999999</v>
      </c>
      <c r="J45">
        <f>(Corn!J45*1000)*(39.368)/1000000</f>
        <v>6530.7575200000001</v>
      </c>
      <c r="K45">
        <f>(Corn!K45*1000)*(39.368)/1000000</f>
        <v>11534.902736</v>
      </c>
      <c r="L45">
        <f>(Corn!L45*1000)*(39.368)/1000000</f>
        <v>1231.903456</v>
      </c>
      <c r="M45">
        <f>Corn!M45</f>
        <v>4.46</v>
      </c>
      <c r="N45">
        <f>(Corn!N45*1000)*(39.368)/1000000</f>
        <v>8505.0627199999999</v>
      </c>
      <c r="O45">
        <f>(Corn!O45*1000)*(39.368)/1000000</f>
        <v>40699.465128000003</v>
      </c>
      <c r="P45">
        <f>Corn!P45</f>
        <v>7265892332</v>
      </c>
      <c r="Q45">
        <f>Corn!Q45</f>
        <v>317099</v>
      </c>
      <c r="R45">
        <f>Corn!R45</f>
        <v>78034892841179.203</v>
      </c>
      <c r="S45">
        <f>Corn!S45</f>
        <v>16880.683000000001</v>
      </c>
      <c r="T45">
        <f>Corn!T45</f>
        <v>95.781000000000006</v>
      </c>
      <c r="U45">
        <f>(Corn!U45*1000)*(39.368)/1000000</f>
        <v>13455.667455999999</v>
      </c>
      <c r="V45" s="11">
        <v>88.9</v>
      </c>
      <c r="W45" s="22">
        <v>100</v>
      </c>
    </row>
    <row r="46" spans="1:23" x14ac:dyDescent="0.3">
      <c r="A46">
        <v>2014</v>
      </c>
      <c r="B46">
        <f>Corn!B46</f>
        <v>99.960419972737625</v>
      </c>
      <c r="C46">
        <f>Corn!C46</f>
        <v>99.92897478739421</v>
      </c>
      <c r="D46">
        <f>(Corn!D46*1000)*(39.368)/1000000</f>
        <v>1231.903456</v>
      </c>
      <c r="E46">
        <f>(Corn!E46*1000)*(39.368)/1000000</f>
        <v>14217.202047999999</v>
      </c>
      <c r="F46">
        <f>(Corn!F46*1000)*(39.368)/1000000</f>
        <v>31.651872000000001</v>
      </c>
      <c r="G46">
        <f>(Corn!G46*1000)*(39.368)/1000000</f>
        <v>15480.757376</v>
      </c>
      <c r="H46">
        <f>(Corn!H46*1000)*(39.368)/1000000</f>
        <v>1866.8699280000001</v>
      </c>
      <c r="I46">
        <f>(Corn!I46*1000)*(39.368)/1000000</f>
        <v>5287.3979760000002</v>
      </c>
      <c r="J46">
        <f>(Corn!J46*1000)*(39.368)/1000000</f>
        <v>6595.3210399999998</v>
      </c>
      <c r="K46">
        <f>(Corn!K46*1000)*(39.368)/1000000</f>
        <v>11882.719015999999</v>
      </c>
      <c r="L46">
        <f>(Corn!L46*1000)*(39.368)/1000000</f>
        <v>1731.1684319999999</v>
      </c>
      <c r="M46">
        <f>Corn!M46</f>
        <v>3.7</v>
      </c>
      <c r="N46">
        <f>(Corn!N46*1000)*(39.368)/1000000</f>
        <v>11020.559816000001</v>
      </c>
      <c r="O46">
        <f>(Corn!O46*1000)*(39.368)/1000000</f>
        <v>41771.062087999999</v>
      </c>
      <c r="P46">
        <f>Corn!P46</f>
        <v>7354068030</v>
      </c>
      <c r="Q46">
        <f>Corn!Q46</f>
        <v>319601</v>
      </c>
      <c r="R46">
        <f>Corn!R46</f>
        <v>80054888775431</v>
      </c>
      <c r="S46">
        <f>Corn!S46</f>
        <v>17608.137999999999</v>
      </c>
      <c r="T46">
        <f>Corn!T46</f>
        <v>97.120999999999995</v>
      </c>
      <c r="U46">
        <f>(Corn!U46*1000)*(39.368)/1000000</f>
        <v>13749.588943999999</v>
      </c>
      <c r="V46" s="11">
        <v>90.9</v>
      </c>
      <c r="W46" s="22">
        <v>89.4</v>
      </c>
    </row>
    <row r="47" spans="1:23" x14ac:dyDescent="0.3">
      <c r="A47">
        <v>2015</v>
      </c>
      <c r="B47">
        <f>Corn!B47</f>
        <v>103.10752868652344</v>
      </c>
      <c r="C47">
        <f>Corn!C47</f>
        <v>103.52058601379395</v>
      </c>
      <c r="D47">
        <f>(Corn!D47*1000)*(39.368)/1000000</f>
        <v>1731.1684319999999</v>
      </c>
      <c r="E47">
        <f>(Corn!E47*1000)*(39.368)/1000000</f>
        <v>13601.880208</v>
      </c>
      <c r="F47">
        <f>(Corn!F47*1000)*(39.368)/1000000</f>
        <v>67.555487999999997</v>
      </c>
      <c r="G47">
        <f>(Corn!G47*1000)*(39.368)/1000000</f>
        <v>15400.604128000001</v>
      </c>
      <c r="H47">
        <f>(Corn!H47*1000)*(39.368)/1000000</f>
        <v>1898.6399039999999</v>
      </c>
      <c r="I47">
        <f>(Corn!I47*1000)*(39.368)/1000000</f>
        <v>5117.8006320000004</v>
      </c>
      <c r="J47">
        <f>(Corn!J47*1000)*(39.368)/1000000</f>
        <v>6647.129328</v>
      </c>
      <c r="K47">
        <f>(Corn!K47*1000)*(39.368)/1000000</f>
        <v>11764.929959999999</v>
      </c>
      <c r="L47">
        <f>(Corn!L47*1000)*(39.368)/1000000</f>
        <v>1737.0342639999999</v>
      </c>
      <c r="M47">
        <f>Corn!M47</f>
        <v>3.61</v>
      </c>
      <c r="N47">
        <f>(Corn!N47*1000)*(39.368)/1000000</f>
        <v>12336.474584</v>
      </c>
      <c r="O47">
        <f>(Corn!O47*1000)*(39.368)/1000000</f>
        <v>40202.286655999997</v>
      </c>
      <c r="P47">
        <f>Corn!P47</f>
        <v>7441677465</v>
      </c>
      <c r="Q47">
        <f>Corn!Q47</f>
        <v>322113</v>
      </c>
      <c r="R47">
        <f>Corn!R47</f>
        <v>75621913961646.203</v>
      </c>
      <c r="S47">
        <f>Corn!S47</f>
        <v>18295.019</v>
      </c>
      <c r="T47">
        <f>Corn!T47</f>
        <v>97.299000000000007</v>
      </c>
      <c r="U47">
        <f>(Corn!U47*1000)*(39.368)/1000000</f>
        <v>13663.569863999999</v>
      </c>
      <c r="V47" s="11">
        <v>92.6</v>
      </c>
      <c r="W47" s="22">
        <v>48.5</v>
      </c>
    </row>
    <row r="48" spans="1:23" x14ac:dyDescent="0.3">
      <c r="A48">
        <v>2016</v>
      </c>
      <c r="B48">
        <f>Corn!B48</f>
        <v>103.89478556315105</v>
      </c>
      <c r="C48">
        <f>Corn!C48</f>
        <v>100.41135597229004</v>
      </c>
      <c r="D48">
        <f>(Corn!D48*1000)*(39.368)/1000000</f>
        <v>1737.0342639999999</v>
      </c>
      <c r="E48">
        <f>(Corn!E48*1000)*(39.368)/1000000</f>
        <v>15147.940304</v>
      </c>
      <c r="F48">
        <f>(Corn!F48*1000)*(39.368)/1000000</f>
        <v>57.083599999999997</v>
      </c>
      <c r="G48">
        <f>(Corn!G48*1000)*(39.368)/1000000</f>
        <v>16942.058168</v>
      </c>
      <c r="H48">
        <f>(Corn!H48*1000)*(39.368)/1000000</f>
        <v>2295.6661840000002</v>
      </c>
      <c r="I48">
        <f>(Corn!I48*1000)*(39.368)/1000000</f>
        <v>5467.9002559999999</v>
      </c>
      <c r="J48">
        <f>(Corn!J48*1000)*(39.368)/1000000</f>
        <v>6885.1876240000001</v>
      </c>
      <c r="K48">
        <f>(Corn!K48*1000)*(39.368)/1000000</f>
        <v>12353.087879999999</v>
      </c>
      <c r="L48">
        <f>(Corn!L48*1000)*(39.368)/1000000</f>
        <v>2293.3041039999998</v>
      </c>
      <c r="M48">
        <f>Corn!M48</f>
        <v>3.36</v>
      </c>
      <c r="N48">
        <f>(Corn!N48*1000)*(39.368)/1000000</f>
        <v>13811.239232</v>
      </c>
      <c r="O48">
        <f>(Corn!O48*1000)*(39.368)/1000000</f>
        <v>44460.605111999997</v>
      </c>
      <c r="P48">
        <f>Corn!P48</f>
        <v>7528879985</v>
      </c>
      <c r="Q48">
        <f>Corn!Q48</f>
        <v>324609</v>
      </c>
      <c r="R48">
        <f>Corn!R48</f>
        <v>76831684012526.203</v>
      </c>
      <c r="S48">
        <f>Corn!S48</f>
        <v>18804.913</v>
      </c>
      <c r="T48">
        <f>Corn!T48</f>
        <v>98.284000000000006</v>
      </c>
      <c r="U48">
        <f>(Corn!U48*1000)*(39.368)/1000000</f>
        <v>14648.754064000001</v>
      </c>
      <c r="V48" s="11">
        <v>92.9</v>
      </c>
      <c r="W48" s="22">
        <v>80.3</v>
      </c>
    </row>
    <row r="49" spans="1:23" x14ac:dyDescent="0.3">
      <c r="A49">
        <v>2017</v>
      </c>
      <c r="B49">
        <f>Corn!B49</f>
        <v>103.23130671183269</v>
      </c>
      <c r="C49">
        <f>Corn!C49</f>
        <v>102.3015677134196</v>
      </c>
      <c r="D49">
        <f>(Corn!D49*1000)*(39.368)/1000000</f>
        <v>2293.3041039999998</v>
      </c>
      <c r="E49">
        <f>(Corn!E49*1000)*(39.368)/1000000</f>
        <v>14609.307328000001</v>
      </c>
      <c r="F49">
        <f>(Corn!F49*1000)*(39.368)/1000000</f>
        <v>36.021720000000002</v>
      </c>
      <c r="G49">
        <f>(Corn!G49*1000)*(39.368)/1000000</f>
        <v>16938.633151999999</v>
      </c>
      <c r="H49">
        <f>(Corn!H49*1000)*(39.368)/1000000</f>
        <v>2437.1154080000001</v>
      </c>
      <c r="I49">
        <f>(Corn!I49*1000)*(39.368)/1000000</f>
        <v>5304.5624239999997</v>
      </c>
      <c r="J49">
        <f>(Corn!J49*1000)*(39.368)/1000000</f>
        <v>7056.6352639999996</v>
      </c>
      <c r="K49">
        <f>(Corn!K49*1000)*(39.368)/1000000</f>
        <v>12361.197688</v>
      </c>
      <c r="L49">
        <f>(Corn!L49*1000)*(39.368)/1000000</f>
        <v>2140.320056</v>
      </c>
      <c r="M49">
        <f>Corn!M49</f>
        <v>3.36</v>
      </c>
      <c r="N49">
        <f>(Corn!N49*1000)*(39.368)/1000000</f>
        <v>13473.107480000001</v>
      </c>
      <c r="O49">
        <f>(Corn!O49*1000)*(39.368)/1000000</f>
        <v>42804.196512000002</v>
      </c>
      <c r="P49">
        <f>Corn!P49</f>
        <v>7614523410</v>
      </c>
      <c r="Q49">
        <f>Corn!Q49</f>
        <v>326860</v>
      </c>
      <c r="R49">
        <f>Corn!R49</f>
        <v>81839102917044.703</v>
      </c>
      <c r="S49">
        <f>Corn!S49</f>
        <v>19612.102999999999</v>
      </c>
      <c r="T49">
        <f>Corn!T49</f>
        <v>100</v>
      </c>
      <c r="U49">
        <f>(Corn!U49*1000)*(39.368)/1000000</f>
        <v>14798.313096</v>
      </c>
      <c r="V49" s="11">
        <v>93.7</v>
      </c>
      <c r="W49" s="22">
        <v>118.2</v>
      </c>
    </row>
    <row r="50" spans="1:23" x14ac:dyDescent="0.3">
      <c r="A50">
        <v>2018</v>
      </c>
      <c r="B50">
        <f>Corn!B50</f>
        <v>104.58509063720703</v>
      </c>
      <c r="C50">
        <f>Corn!C50</f>
        <v>108.06281852722168</v>
      </c>
      <c r="D50">
        <f>(Corn!D50*1000)*(39.368)/1000000</f>
        <v>2140.320056</v>
      </c>
      <c r="E50">
        <f>(Corn!E50*1000)*(39.368)/1000000</f>
        <v>14321.566616</v>
      </c>
      <c r="F50">
        <f>(Corn!F50*1000)*(39.368)/1000000</f>
        <v>27.951280000000001</v>
      </c>
      <c r="G50">
        <f>(Corn!G50*1000)*(39.368)/1000000</f>
        <v>16489.837952000002</v>
      </c>
      <c r="H50">
        <f>(Corn!H50*1000)*(39.368)/1000000</f>
        <v>2068.3159839999998</v>
      </c>
      <c r="I50">
        <f>(Corn!I50*1000)*(39.368)/1000000</f>
        <v>5392.0774879999999</v>
      </c>
      <c r="J50">
        <f>(Corn!J50*1000)*(39.368)/1000000</f>
        <v>6792.436616</v>
      </c>
      <c r="K50">
        <f>(Corn!K50*1000)*(39.368)/1000000</f>
        <v>12184.514104</v>
      </c>
      <c r="L50">
        <f>(Corn!L50*1000)*(39.368)/1000000</f>
        <v>2237.0078640000002</v>
      </c>
      <c r="M50">
        <f>Corn!M50</f>
        <v>3.61</v>
      </c>
      <c r="N50">
        <f>(Corn!N50*1000)*(39.368)/1000000</f>
        <v>12864.4782</v>
      </c>
      <c r="O50">
        <f>(Corn!O50*1000)*(39.368)/1000000</f>
        <v>44596.936496000002</v>
      </c>
      <c r="P50">
        <f>Corn!P50</f>
        <v>7697233736</v>
      </c>
      <c r="Q50">
        <f>Corn!Q50</f>
        <v>328794</v>
      </c>
      <c r="R50">
        <f>Corn!R50</f>
        <v>87050964956078.406</v>
      </c>
      <c r="S50">
        <f>Corn!S50</f>
        <v>20656.516</v>
      </c>
      <c r="T50">
        <f>Corn!T50</f>
        <v>102.047</v>
      </c>
      <c r="U50">
        <f>(Corn!U50*1000)*(39.368)/1000000</f>
        <v>14252.830088000001</v>
      </c>
      <c r="V50" s="11">
        <v>95</v>
      </c>
      <c r="W50" s="22">
        <v>134.80000000000001</v>
      </c>
    </row>
    <row r="51" spans="1:23" x14ac:dyDescent="0.3">
      <c r="A51">
        <v>2019</v>
      </c>
      <c r="B51">
        <f>Corn!B51</f>
        <v>107.62516212463379</v>
      </c>
      <c r="C51">
        <f>Corn!C51</f>
        <v>112.25717480977376</v>
      </c>
      <c r="D51">
        <f>(Corn!D51*1000)*(39.368)/1000000</f>
        <v>2237.0078640000002</v>
      </c>
      <c r="E51">
        <f>(Corn!E51*1000)*(39.368)/1000000</f>
        <v>13568.220568000001</v>
      </c>
      <c r="F51">
        <f>(Corn!F51*1000)*(39.368)/1000000</f>
        <v>41.887551999999999</v>
      </c>
      <c r="G51">
        <f>(Corn!G51*1000)*(39.368)/1000000</f>
        <v>15847.115984</v>
      </c>
      <c r="H51">
        <f>(Corn!H51*1000)*(39.368)/1000000</f>
        <v>1778.4494</v>
      </c>
      <c r="I51">
        <f>(Corn!I51*1000)*(39.368)/1000000</f>
        <v>5778.3563039999999</v>
      </c>
      <c r="J51">
        <f>(Corn!J51*1000)*(39.368)/1000000</f>
        <v>6285.9672959999998</v>
      </c>
      <c r="K51">
        <f>(Corn!K51*1000)*(39.368)/1000000</f>
        <v>12064.3236</v>
      </c>
      <c r="L51">
        <f>(Corn!L51*1000)*(39.368)/1000000</f>
        <v>2004.3429839999999</v>
      </c>
      <c r="M51">
        <f>Corn!M51</f>
        <v>3.56</v>
      </c>
      <c r="N51">
        <f>(Corn!N51*1000)*(39.368)/1000000</f>
        <v>12382.889456000001</v>
      </c>
      <c r="O51">
        <f>(Corn!O51*1000)*(39.368)/1000000</f>
        <v>44418.323880000004</v>
      </c>
      <c r="P51">
        <f>Corn!P51</f>
        <v>7778008621</v>
      </c>
      <c r="Q51">
        <f>Corn!Q51</f>
        <v>330513</v>
      </c>
      <c r="R51">
        <f>Corn!R51</f>
        <v>88483262418196.5</v>
      </c>
      <c r="S51">
        <f>Corn!S51</f>
        <v>21539.982</v>
      </c>
      <c r="T51">
        <f>Corn!T51</f>
        <v>103.509</v>
      </c>
      <c r="U51">
        <f>(Corn!U51*1000)*(39.368)/1000000</f>
        <v>13842.772999999999</v>
      </c>
      <c r="V51" s="11">
        <v>96.8</v>
      </c>
      <c r="W51" s="22">
        <v>87.9</v>
      </c>
    </row>
    <row r="52" spans="1:23" x14ac:dyDescent="0.3">
      <c r="A52">
        <v>2020</v>
      </c>
      <c r="B52">
        <f>Corn!B52</f>
        <v>108.32800547281902</v>
      </c>
      <c r="C52">
        <f>Corn!C52</f>
        <v>110.50793647766113</v>
      </c>
      <c r="D52">
        <f>(Corn!D52*1000)*(39.368)/1000000</f>
        <v>2004.3429839999999</v>
      </c>
      <c r="E52">
        <f>(Corn!E52*1000)*(39.368)/1000000</f>
        <v>14086.618392</v>
      </c>
      <c r="F52">
        <f>(Corn!F52*1000)*(39.368)/1000000</f>
        <v>24.250688</v>
      </c>
      <c r="G52">
        <f>(Corn!G52*1000)*(39.368)/1000000</f>
        <v>16115.212063999999</v>
      </c>
      <c r="H52">
        <f>(Corn!H52*1000)*(39.368)/1000000</f>
        <v>2746.9022</v>
      </c>
      <c r="I52">
        <f>(Corn!I52*1000)*(39.368)/1000000</f>
        <v>5667.3779119999999</v>
      </c>
      <c r="J52">
        <f>(Corn!J52*1000)*(39.368)/1000000</f>
        <v>6466.4302079999998</v>
      </c>
      <c r="K52">
        <f>(Corn!K52*1000)*(39.368)/1000000</f>
        <v>12133.80812</v>
      </c>
      <c r="L52">
        <f>(Corn!L52*1000)*(39.368)/1000000</f>
        <v>1234.5017439999999</v>
      </c>
      <c r="M52">
        <f>Corn!M52</f>
        <v>4.53</v>
      </c>
      <c r="N52">
        <f>(Corn!N52*1000)*(39.368)/1000000</f>
        <v>11706.389744</v>
      </c>
      <c r="O52">
        <f>(Corn!O52*1000)*(39.368)/1000000</f>
        <v>44660.594552000002</v>
      </c>
      <c r="P52">
        <f>Corn!P52</f>
        <v>7854748424</v>
      </c>
      <c r="Q52">
        <f>Corn!Q52</f>
        <v>331840</v>
      </c>
      <c r="R52">
        <f>Corn!R52</f>
        <v>85912761035231.203</v>
      </c>
      <c r="S52">
        <f>Corn!S52</f>
        <v>21375.281999999999</v>
      </c>
      <c r="T52">
        <f>Corn!T52</f>
        <v>104.666</v>
      </c>
      <c r="U52">
        <f>(Corn!U52*1000)*(39.368)/1000000</f>
        <v>14880.71032</v>
      </c>
      <c r="V52" s="11">
        <v>100</v>
      </c>
      <c r="W52" s="22">
        <v>100</v>
      </c>
    </row>
    <row r="53" spans="1:23" x14ac:dyDescent="0.3">
      <c r="A53">
        <v>2021</v>
      </c>
      <c r="B53">
        <f>Corn!B53</f>
        <v>119.30623626708984</v>
      </c>
      <c r="C53">
        <f>Corn!C53</f>
        <v>117.94894282023112</v>
      </c>
      <c r="D53">
        <f>(Corn!D53*1000)*(39.368)/1000000</f>
        <v>1234.5017439999999</v>
      </c>
      <c r="E53">
        <f>(Corn!E53*1000)*(39.368)/1000000</f>
        <v>15017.671592000001</v>
      </c>
      <c r="F53">
        <f>(Corn!F53*1000)*(39.368)/1000000</f>
        <v>24.211320000000001</v>
      </c>
      <c r="G53">
        <f>(Corn!G53*1000)*(39.368)/1000000</f>
        <v>16276.384656</v>
      </c>
      <c r="H53">
        <f>(Corn!H53*1000)*(39.368)/1000000</f>
        <v>2472.3891359999998</v>
      </c>
      <c r="I53">
        <f>(Corn!I53*1000)*(39.368)/1000000</f>
        <v>5670.4486159999997</v>
      </c>
      <c r="J53">
        <f>(Corn!J53*1000)*(39.368)/1000000</f>
        <v>6756.6511039999996</v>
      </c>
      <c r="K53">
        <f>(Corn!K53*1000)*(39.368)/1000000</f>
        <v>12427.09972</v>
      </c>
      <c r="L53">
        <f>(Corn!L53*1000)*(39.368)/1000000</f>
        <v>1376.8958</v>
      </c>
      <c r="M53">
        <f>Corn!M53</f>
        <v>6</v>
      </c>
      <c r="N53">
        <f>(Corn!N53*1000)*(39.368)/1000000</f>
        <v>12366.236792</v>
      </c>
      <c r="O53">
        <f>(Corn!O53*1000)*(39.368)/1000000</f>
        <v>48070.296399999999</v>
      </c>
      <c r="P53">
        <f>Corn!P53</f>
        <v>7920514854</v>
      </c>
      <c r="Q53">
        <f>Corn!Q53</f>
        <v>332505</v>
      </c>
      <c r="R53">
        <f>Corn!R53</f>
        <v>98140475264975.906</v>
      </c>
      <c r="S53">
        <f>Corn!S53</f>
        <v>23725.646000000001</v>
      </c>
      <c r="T53">
        <f>Corn!T53</f>
        <v>108.973</v>
      </c>
      <c r="U53">
        <f>(Corn!U53*1000)*(39.368)/1000000</f>
        <v>14899.488856</v>
      </c>
      <c r="V53" s="11">
        <v>103.8</v>
      </c>
      <c r="W53" s="22">
        <v>378.8</v>
      </c>
    </row>
    <row r="54" spans="1:23" x14ac:dyDescent="0.3">
      <c r="A54">
        <v>2022</v>
      </c>
      <c r="B54">
        <f>Corn!B54</f>
        <v>117.78226661682129</v>
      </c>
      <c r="C54">
        <f>Corn!C54</f>
        <v>115.50069681803386</v>
      </c>
      <c r="D54">
        <f>(Corn!D54*1000)*(39.368)/1000000</f>
        <v>1376.8958</v>
      </c>
      <c r="E54">
        <f>(Corn!E54*1000)*(39.368)/1000000</f>
        <v>13650.420952</v>
      </c>
      <c r="F54">
        <f>(Corn!F54*1000)*(39.368)/1000000</f>
        <v>38.659376000000002</v>
      </c>
      <c r="G54">
        <f>(Corn!G54*1000)*(39.368)/1000000</f>
        <v>15065.976128</v>
      </c>
      <c r="H54">
        <f>(Corn!H54*1000)*(39.368)/1000000</f>
        <v>1661.880752</v>
      </c>
      <c r="I54">
        <f>(Corn!I54*1000)*(39.368)/1000000</f>
        <v>5485.8520639999997</v>
      </c>
      <c r="J54">
        <f>(Corn!J54*1000)*(39.368)/1000000</f>
        <v>6558.0395440000002</v>
      </c>
      <c r="K54">
        <f>(Corn!K54*1000)*(39.368)/1000000</f>
        <v>12043.891608</v>
      </c>
      <c r="L54">
        <f>(Corn!L54*1000)*(39.368)/1000000</f>
        <v>1360.2037680000001</v>
      </c>
      <c r="M54">
        <f>Corn!M54</f>
        <v>6.54</v>
      </c>
      <c r="N54">
        <f>(Corn!N54*1000)*(39.368)/1000000</f>
        <v>12021.924263999999</v>
      </c>
      <c r="O54">
        <f>(Corn!O54*1000)*(39.368)/1000000</f>
        <v>45891.986224</v>
      </c>
      <c r="P54">
        <f>Corn!P54</f>
        <v>7989545217</v>
      </c>
      <c r="Q54">
        <f>Corn!Q54</f>
        <v>334372</v>
      </c>
      <c r="R54">
        <f>Corn!R54</f>
        <v>102251524725531</v>
      </c>
      <c r="S54">
        <f>Corn!S54</f>
        <v>26054.614000000001</v>
      </c>
      <c r="T54">
        <f>Corn!T54</f>
        <v>116.1</v>
      </c>
      <c r="U54">
        <f>(Corn!U54*1000)*(39.368)/1000000</f>
        <v>13705.772360000001</v>
      </c>
      <c r="V54" s="11">
        <v>113.8</v>
      </c>
      <c r="W54" s="22">
        <v>395.5</v>
      </c>
    </row>
    <row r="55" spans="1:23" x14ac:dyDescent="0.3">
      <c r="A55">
        <v>2023</v>
      </c>
      <c r="B55">
        <f>Corn!B55</f>
        <v>121.21778996785481</v>
      </c>
      <c r="C55">
        <f>Corn!C55</f>
        <v>117.15745989481609</v>
      </c>
      <c r="D55">
        <f>(Corn!D55*1000)*(39.368)/1000000</f>
        <v>1360.2037680000001</v>
      </c>
      <c r="E55">
        <f>(Corn!E55*1000)*(39.368)/1000000</f>
        <v>15340.410456</v>
      </c>
      <c r="F55">
        <f>(Corn!F55*1000)*(39.368)/1000000</f>
        <v>28.423696</v>
      </c>
      <c r="G55">
        <f>(Corn!G55*1000)*(39.368)/1000000</f>
        <v>16729.037919999999</v>
      </c>
      <c r="H55">
        <f>(Corn!H55*1000)*(39.368)/1000000</f>
        <v>2254.8022000000001</v>
      </c>
      <c r="I55">
        <f>(Corn!I55*1000)*(39.368)/1000000</f>
        <v>5831.7393119999997</v>
      </c>
      <c r="J55">
        <f>(Corn!J55*1000)*(39.368)/1000000</f>
        <v>6879.1249520000001</v>
      </c>
      <c r="K55">
        <f>(Corn!K55*1000)*(39.368)/1000000</f>
        <v>12710.864264</v>
      </c>
      <c r="L55">
        <f>(Corn!L55*1000)*(39.368)/1000000</f>
        <v>1763.3714560000001</v>
      </c>
      <c r="M55">
        <f>Corn!M55</f>
        <v>4.55</v>
      </c>
      <c r="N55">
        <f>(Corn!N55*1000)*(39.368)/1000000</f>
        <v>12418.556864</v>
      </c>
      <c r="O55">
        <f>(Corn!O55*1000)*(39.368)/1000000</f>
        <v>48450.079495999998</v>
      </c>
      <c r="P55">
        <f>Corn!P55</f>
        <v>8064057930</v>
      </c>
      <c r="Q55">
        <f>Corn!Q55</f>
        <v>337141</v>
      </c>
      <c r="R55">
        <f>Corn!R55</f>
        <v>106741647821064</v>
      </c>
      <c r="S55">
        <f>Corn!S55</f>
        <v>27811.517</v>
      </c>
      <c r="T55">
        <f>Corn!T55</f>
        <v>120.511</v>
      </c>
      <c r="U55">
        <f>(Corn!U55*1000)*(39.368)/1000000</f>
        <v>14965.666464</v>
      </c>
      <c r="V55" s="11">
        <v>120.2</v>
      </c>
      <c r="W55" s="22">
        <v>163.6</v>
      </c>
    </row>
    <row r="56" spans="1:23" x14ac:dyDescent="0.3">
      <c r="A56">
        <v>2024</v>
      </c>
      <c r="B56">
        <f>Corn!B56</f>
        <v>122.45605341593425</v>
      </c>
      <c r="C56">
        <f>Corn!C56</f>
        <v>115.30511792500813</v>
      </c>
      <c r="D56">
        <f>(Corn!D56*1000)*(39.368)/1000000</f>
        <v>1763.3714560000001</v>
      </c>
      <c r="E56">
        <f>(Corn!E56*1000)*(39.368)/1000000</f>
        <v>14891.654624000001</v>
      </c>
      <c r="F56">
        <f>(Corn!F56*1000)*(39.368)/1000000</f>
        <v>21.6524</v>
      </c>
      <c r="G56">
        <f>(Corn!G56*1000)*(39.368)/1000000</f>
        <v>16676.678479999999</v>
      </c>
      <c r="H56">
        <f>(Corn!H56*1000)*(39.368)/1000000</f>
        <v>2858.2349039999999</v>
      </c>
      <c r="I56">
        <f>(Corn!I56*1000)*(39.368)/1000000</f>
        <v>5465.4988080000003</v>
      </c>
      <c r="J56">
        <f>(Corn!J56*1000)*(39.368)/1000000</f>
        <v>6821.3327280000003</v>
      </c>
      <c r="K56">
        <f>(Corn!K56*1000)*(39.368)/1000000</f>
        <v>12286.831536</v>
      </c>
      <c r="L56">
        <f>(Corn!L56*1000)*(39.368)/1000000</f>
        <v>1531.61204</v>
      </c>
      <c r="M56">
        <f>Corn!M56</f>
        <v>4.24</v>
      </c>
      <c r="N56">
        <f>(Corn!N56*1000)*(39.368)/1000000</f>
        <v>11549.350791999999</v>
      </c>
      <c r="O56">
        <f>(Corn!O56*1000)*(39.368)/1000000</f>
        <v>48446.575744000002</v>
      </c>
      <c r="P56">
        <f>Corn!P56</f>
        <v>8141808945</v>
      </c>
      <c r="Q56">
        <f>Corn!Q56</f>
        <v>340212</v>
      </c>
      <c r="R56">
        <f>Corn!R56</f>
        <v>110982661180013</v>
      </c>
      <c r="S56">
        <f>Corn!S56</f>
        <v>29298.012999999999</v>
      </c>
      <c r="T56">
        <f>Corn!T56</f>
        <v>123.666</v>
      </c>
      <c r="U56">
        <f>(Corn!U56*1000)*(39.368)/1000000</f>
        <v>15145.066440000001</v>
      </c>
      <c r="V56" s="11">
        <v>122.9</v>
      </c>
      <c r="W56" s="22">
        <v>150</v>
      </c>
    </row>
    <row r="57" spans="1:23" x14ac:dyDescent="0.3">
      <c r="A57">
        <v>2025</v>
      </c>
      <c r="B57">
        <f>Corn!B57</f>
        <v>123.0113639831543</v>
      </c>
      <c r="C57">
        <f>Corn!C57</f>
        <v>117.66338221232097</v>
      </c>
      <c r="D57">
        <f>(Corn!D57*1000)*(39.368)/1000000</f>
        <v>1531.61204</v>
      </c>
      <c r="E57">
        <f>(Corn!E57*1000)*(39.368)/1000000</f>
        <v>16752.068200000002</v>
      </c>
      <c r="F57">
        <f>(Corn!F57*1000)*(39.368)/1000000</f>
        <v>24.99868</v>
      </c>
      <c r="G57">
        <f>(Corn!G57*1000)*(39.368)/1000000</f>
        <v>18308.678919999998</v>
      </c>
      <c r="H57">
        <f>(Corn!H57*1000)*(39.368)/1000000</f>
        <v>3199.9885119999999</v>
      </c>
      <c r="I57">
        <f>(Corn!I57*1000)*(39.368)/1000000</f>
        <v>6099.9534960000001</v>
      </c>
      <c r="J57">
        <f>(Corn!J57*1000)*(39.368)/1000000</f>
        <v>6979.9463999999998</v>
      </c>
      <c r="K57">
        <f>(Corn!K57*1000)*(39.368)/1000000</f>
        <v>13079.899896000001</v>
      </c>
      <c r="L57">
        <f>(Corn!L57*1000)*(39.368)/1000000</f>
        <v>2028.790512</v>
      </c>
      <c r="M57">
        <f>Corn!M57</f>
        <v>4</v>
      </c>
      <c r="N57">
        <f>(Corn!N57*1000)*(39.368)/1000000</f>
        <v>10989.616567999999</v>
      </c>
      <c r="O57">
        <f>(Corn!O57*1000)*(39.368)/1000000</f>
        <v>50507.648015999999</v>
      </c>
      <c r="P57">
        <f>Corn!P57</f>
        <v>8213574075.25</v>
      </c>
      <c r="Q57">
        <f>Corn!Q57</f>
        <v>342305</v>
      </c>
      <c r="R57">
        <f>Corn!R57</f>
        <v>117250136216208.45</v>
      </c>
      <c r="S57">
        <f>Corn!S57</f>
        <v>31278.695749999999</v>
      </c>
      <c r="T57">
        <f>Corn!T57</f>
        <v>128.416</v>
      </c>
      <c r="U57">
        <f>(Corn!U57*1000)*(39.368)/1000000</f>
        <v>16279.888408000001</v>
      </c>
      <c r="V57" s="10">
        <v>125.30000000000001</v>
      </c>
      <c r="W57" s="23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Corn</vt:lpstr>
      <vt:lpstr>Soybeans</vt:lpstr>
      <vt:lpstr>Soybeans - bu</vt:lpstr>
      <vt:lpstr>Corn - 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Widmar</dc:creator>
  <cp:lastModifiedBy>Jeffrey Young</cp:lastModifiedBy>
  <dcterms:created xsi:type="dcterms:W3CDTF">2025-12-18T16:03:07Z</dcterms:created>
  <dcterms:modified xsi:type="dcterms:W3CDTF">2026-03-26T19:25:26Z</dcterms:modified>
</cp:coreProperties>
</file>