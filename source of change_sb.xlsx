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ung6\Desktop\Consulting\AEI\2026 Projects\Soybean Demand\from David\New folder\cleaned\"/>
    </mc:Choice>
  </mc:AlternateContent>
  <xr:revisionPtr revIDLastSave="0" documentId="13_ncr:1_{13B7DB40-4A72-4563-B328-145ACAB74DA2}" xr6:coauthVersionLast="47" xr6:coauthVersionMax="47" xr10:uidLastSave="{00000000-0000-0000-0000-000000000000}"/>
  <bookViews>
    <workbookView xWindow="-108" yWindow="-108" windowWidth="23256" windowHeight="12456" activeTab="1" xr2:uid="{7581907C-E6AE-4F12-B9C0-6C90A36ACFA8}"/>
  </bookViews>
  <sheets>
    <sheet name="data" sheetId="2" r:id="rId1"/>
    <sheet name="ggggg" sheetId="3" r:id="rId2"/>
    <sheet name="chart1" sheetId="4" r:id="rId3"/>
    <sheet name="char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" i="3" l="1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V3" i="3"/>
  <c r="U3" i="3"/>
  <c r="T3" i="3"/>
  <c r="S3" i="3"/>
  <c r="T2" i="3"/>
  <c r="S2" i="3"/>
  <c r="Q9" i="3" l="1"/>
  <c r="Q11" i="3"/>
  <c r="Q17" i="3"/>
  <c r="Q19" i="3"/>
  <c r="Q25" i="3"/>
  <c r="Q27" i="3"/>
  <c r="T27" i="3"/>
  <c r="S27" i="3"/>
  <c r="H27" i="3"/>
  <c r="T26" i="3"/>
  <c r="S26" i="3"/>
  <c r="H26" i="3"/>
  <c r="I26" i="3" s="1"/>
  <c r="J26" i="3" s="1"/>
  <c r="K26" i="3" s="1"/>
  <c r="T25" i="3"/>
  <c r="S25" i="3"/>
  <c r="H25" i="3"/>
  <c r="I25" i="3" s="1"/>
  <c r="J25" i="3" s="1"/>
  <c r="K25" i="3" s="1"/>
  <c r="T24" i="3"/>
  <c r="S24" i="3"/>
  <c r="H24" i="3"/>
  <c r="Q24" i="3" s="1"/>
  <c r="T23" i="3"/>
  <c r="S23" i="3"/>
  <c r="H23" i="3"/>
  <c r="I23" i="3" s="1"/>
  <c r="J23" i="3" s="1"/>
  <c r="K23" i="3" s="1"/>
  <c r="T22" i="3"/>
  <c r="S22" i="3"/>
  <c r="H22" i="3"/>
  <c r="I22" i="3" s="1"/>
  <c r="J22" i="3" s="1"/>
  <c r="K22" i="3" s="1"/>
  <c r="T21" i="3"/>
  <c r="S21" i="3"/>
  <c r="H21" i="3"/>
  <c r="I21" i="3" s="1"/>
  <c r="J21" i="3" s="1"/>
  <c r="K21" i="3" s="1"/>
  <c r="T20" i="3"/>
  <c r="S20" i="3"/>
  <c r="H20" i="3"/>
  <c r="I20" i="3" s="1"/>
  <c r="J20" i="3" s="1"/>
  <c r="K20" i="3" s="1"/>
  <c r="T19" i="3"/>
  <c r="S19" i="3"/>
  <c r="H19" i="3"/>
  <c r="T18" i="3"/>
  <c r="S18" i="3"/>
  <c r="H18" i="3"/>
  <c r="I18" i="3" s="1"/>
  <c r="J18" i="3" s="1"/>
  <c r="K18" i="3" s="1"/>
  <c r="T17" i="3"/>
  <c r="S17" i="3"/>
  <c r="H17" i="3"/>
  <c r="I17" i="3" s="1"/>
  <c r="J17" i="3" s="1"/>
  <c r="K17" i="3" s="1"/>
  <c r="T16" i="3"/>
  <c r="S16" i="3"/>
  <c r="H16" i="3"/>
  <c r="Q16" i="3" s="1"/>
  <c r="T15" i="3"/>
  <c r="S15" i="3"/>
  <c r="H15" i="3"/>
  <c r="Q15" i="3" s="1"/>
  <c r="T14" i="3"/>
  <c r="S14" i="3"/>
  <c r="H14" i="3"/>
  <c r="I14" i="3" s="1"/>
  <c r="J14" i="3" s="1"/>
  <c r="K14" i="3" s="1"/>
  <c r="T13" i="3"/>
  <c r="S13" i="3"/>
  <c r="H13" i="3"/>
  <c r="I13" i="3" s="1"/>
  <c r="J13" i="3" s="1"/>
  <c r="K13" i="3" s="1"/>
  <c r="T12" i="3"/>
  <c r="S12" i="3"/>
  <c r="H12" i="3"/>
  <c r="Q12" i="3" s="1"/>
  <c r="T11" i="3"/>
  <c r="S11" i="3"/>
  <c r="H11" i="3"/>
  <c r="I11" i="3" s="1"/>
  <c r="T10" i="3"/>
  <c r="S10" i="3"/>
  <c r="H10" i="3"/>
  <c r="I10" i="3" s="1"/>
  <c r="J10" i="3" s="1"/>
  <c r="K10" i="3" s="1"/>
  <c r="T9" i="3"/>
  <c r="S9" i="3"/>
  <c r="H9" i="3"/>
  <c r="I9" i="3" s="1"/>
  <c r="J9" i="3" s="1"/>
  <c r="K9" i="3" s="1"/>
  <c r="T8" i="3"/>
  <c r="S8" i="3"/>
  <c r="H8" i="3"/>
  <c r="Q8" i="3" s="1"/>
  <c r="T7" i="3"/>
  <c r="S7" i="3"/>
  <c r="H7" i="3"/>
  <c r="Q7" i="3" s="1"/>
  <c r="T6" i="3"/>
  <c r="S6" i="3"/>
  <c r="H6" i="3"/>
  <c r="I6" i="3" s="1"/>
  <c r="J6" i="3" s="1"/>
  <c r="K6" i="3" s="1"/>
  <c r="T5" i="3"/>
  <c r="S5" i="3"/>
  <c r="H5" i="3"/>
  <c r="I5" i="3" s="1"/>
  <c r="J5" i="3" s="1"/>
  <c r="K5" i="3" s="1"/>
  <c r="T4" i="3"/>
  <c r="S4" i="3"/>
  <c r="H4" i="3"/>
  <c r="I4" i="3" s="1"/>
  <c r="J4" i="3" s="1"/>
  <c r="K4" i="3" s="1"/>
  <c r="H3" i="3"/>
  <c r="Q3" i="3" s="1"/>
  <c r="H2" i="3"/>
  <c r="I2" i="3" s="1"/>
  <c r="J2" i="3" s="1"/>
  <c r="K2" i="3" s="1"/>
  <c r="F2" i="3"/>
  <c r="O25" i="3" s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" i="2"/>
  <c r="P2" i="2"/>
  <c r="H3" i="2"/>
  <c r="I3" i="2" s="1"/>
  <c r="J3" i="2" s="1"/>
  <c r="K3" i="2" s="1"/>
  <c r="H4" i="2"/>
  <c r="I4" i="2" s="1"/>
  <c r="J4" i="2" s="1"/>
  <c r="K4" i="2" s="1"/>
  <c r="H5" i="2"/>
  <c r="I5" i="2" s="1"/>
  <c r="J5" i="2" s="1"/>
  <c r="K5" i="2" s="1"/>
  <c r="H6" i="2"/>
  <c r="I6" i="2" s="1"/>
  <c r="J6" i="2" s="1"/>
  <c r="K6" i="2" s="1"/>
  <c r="H7" i="2"/>
  <c r="I7" i="2" s="1"/>
  <c r="J7" i="2" s="1"/>
  <c r="K7" i="2" s="1"/>
  <c r="H8" i="2"/>
  <c r="H9" i="2"/>
  <c r="H10" i="2"/>
  <c r="H11" i="2"/>
  <c r="I11" i="2" s="1"/>
  <c r="H12" i="2"/>
  <c r="I12" i="2" s="1"/>
  <c r="J12" i="2" s="1"/>
  <c r="K12" i="2" s="1"/>
  <c r="H13" i="2"/>
  <c r="I13" i="2" s="1"/>
  <c r="J13" i="2" s="1"/>
  <c r="K13" i="2" s="1"/>
  <c r="H14" i="2"/>
  <c r="I14" i="2" s="1"/>
  <c r="J14" i="2" s="1"/>
  <c r="K14" i="2" s="1"/>
  <c r="H15" i="2"/>
  <c r="I15" i="2" s="1"/>
  <c r="J15" i="2" s="1"/>
  <c r="K15" i="2" s="1"/>
  <c r="H16" i="2"/>
  <c r="H17" i="2"/>
  <c r="H18" i="2"/>
  <c r="H19" i="2"/>
  <c r="I19" i="2" s="1"/>
  <c r="J19" i="2" s="1"/>
  <c r="K19" i="2" s="1"/>
  <c r="H20" i="2"/>
  <c r="I20" i="2" s="1"/>
  <c r="J20" i="2" s="1"/>
  <c r="K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H25" i="2"/>
  <c r="H26" i="2"/>
  <c r="H27" i="2"/>
  <c r="I27" i="2" s="1"/>
  <c r="J27" i="2" s="1"/>
  <c r="K27" i="2" s="1"/>
  <c r="H2" i="2"/>
  <c r="I2" i="2" s="1"/>
  <c r="J2" i="2" s="1"/>
  <c r="K2" i="2" s="1"/>
  <c r="F2" i="2"/>
  <c r="Q5" i="2" s="1"/>
  <c r="W18" i="2" l="1"/>
  <c r="B11" i="4"/>
  <c r="B11" i="5"/>
  <c r="B6" i="5"/>
  <c r="B6" i="4"/>
  <c r="B14" i="5"/>
  <c r="B14" i="4"/>
  <c r="B7" i="5"/>
  <c r="B7" i="4"/>
  <c r="B15" i="5"/>
  <c r="B15" i="4"/>
  <c r="B23" i="5"/>
  <c r="B23" i="4"/>
  <c r="B2" i="5"/>
  <c r="B2" i="4"/>
  <c r="B26" i="5"/>
  <c r="B26" i="4"/>
  <c r="B18" i="5"/>
  <c r="B18" i="4"/>
  <c r="B10" i="5"/>
  <c r="B10" i="4"/>
  <c r="Q26" i="3"/>
  <c r="Q18" i="3"/>
  <c r="Q10" i="3"/>
  <c r="B24" i="5"/>
  <c r="B24" i="4"/>
  <c r="B16" i="5"/>
  <c r="B16" i="4"/>
  <c r="B8" i="5"/>
  <c r="B8" i="4"/>
  <c r="Q23" i="3"/>
  <c r="Q22" i="3"/>
  <c r="Q14" i="3"/>
  <c r="Q6" i="3"/>
  <c r="Q21" i="3"/>
  <c r="Q13" i="3"/>
  <c r="Q5" i="3"/>
  <c r="Q20" i="3"/>
  <c r="Q4" i="3"/>
  <c r="L23" i="3"/>
  <c r="O20" i="3"/>
  <c r="O18" i="3"/>
  <c r="L21" i="3"/>
  <c r="O11" i="3"/>
  <c r="O2" i="3"/>
  <c r="L5" i="3"/>
  <c r="L14" i="3"/>
  <c r="L17" i="3"/>
  <c r="O4" i="3"/>
  <c r="L10" i="3"/>
  <c r="O22" i="3"/>
  <c r="O12" i="3"/>
  <c r="O19" i="3"/>
  <c r="O8" i="3"/>
  <c r="L13" i="3"/>
  <c r="L20" i="3"/>
  <c r="O26" i="3"/>
  <c r="O10" i="3"/>
  <c r="L22" i="3"/>
  <c r="O6" i="3"/>
  <c r="L9" i="3"/>
  <c r="O15" i="3"/>
  <c r="O24" i="3"/>
  <c r="L6" i="3"/>
  <c r="O23" i="3"/>
  <c r="L26" i="3"/>
  <c r="L18" i="3"/>
  <c r="O3" i="3"/>
  <c r="L25" i="3"/>
  <c r="L2" i="3"/>
  <c r="L4" i="3"/>
  <c r="O7" i="3"/>
  <c r="O14" i="3"/>
  <c r="O16" i="3"/>
  <c r="O27" i="3"/>
  <c r="J11" i="3"/>
  <c r="I8" i="3"/>
  <c r="J8" i="3" s="1"/>
  <c r="K8" i="3" s="1"/>
  <c r="L8" i="3" s="1"/>
  <c r="I16" i="3"/>
  <c r="J16" i="3" s="1"/>
  <c r="K16" i="3" s="1"/>
  <c r="L16" i="3" s="1"/>
  <c r="I19" i="3"/>
  <c r="J19" i="3" s="1"/>
  <c r="K19" i="3" s="1"/>
  <c r="L19" i="3" s="1"/>
  <c r="I7" i="3"/>
  <c r="J7" i="3" s="1"/>
  <c r="K7" i="3" s="1"/>
  <c r="L7" i="3" s="1"/>
  <c r="I27" i="3"/>
  <c r="J27" i="3" s="1"/>
  <c r="K27" i="3" s="1"/>
  <c r="L27" i="3" s="1"/>
  <c r="I24" i="3"/>
  <c r="J24" i="3" s="1"/>
  <c r="K24" i="3" s="1"/>
  <c r="L24" i="3" s="1"/>
  <c r="I12" i="3"/>
  <c r="J12" i="3" s="1"/>
  <c r="K12" i="3" s="1"/>
  <c r="L12" i="3" s="1"/>
  <c r="I15" i="3"/>
  <c r="J15" i="3" s="1"/>
  <c r="K15" i="3" s="1"/>
  <c r="L15" i="3" s="1"/>
  <c r="I3" i="3"/>
  <c r="J3" i="3" s="1"/>
  <c r="K3" i="3" s="1"/>
  <c r="L3" i="3" s="1"/>
  <c r="O5" i="3"/>
  <c r="O9" i="3"/>
  <c r="O13" i="3"/>
  <c r="O17" i="3"/>
  <c r="O21" i="3"/>
  <c r="J11" i="2"/>
  <c r="U7" i="2" s="1"/>
  <c r="W13" i="2"/>
  <c r="W12" i="2"/>
  <c r="W27" i="2"/>
  <c r="W10" i="2"/>
  <c r="W20" i="2"/>
  <c r="W4" i="2"/>
  <c r="W26" i="2"/>
  <c r="W21" i="2"/>
  <c r="W19" i="2"/>
  <c r="W3" i="2"/>
  <c r="W11" i="2"/>
  <c r="W5" i="2"/>
  <c r="U24" i="2"/>
  <c r="U21" i="2"/>
  <c r="U6" i="2"/>
  <c r="X22" i="2"/>
  <c r="W17" i="2"/>
  <c r="W9" i="2"/>
  <c r="V17" i="2"/>
  <c r="W24" i="2"/>
  <c r="W16" i="2"/>
  <c r="W8" i="2"/>
  <c r="V10" i="2"/>
  <c r="W23" i="2"/>
  <c r="W15" i="2"/>
  <c r="W7" i="2"/>
  <c r="W25" i="2"/>
  <c r="Q11" i="2"/>
  <c r="X4" i="2"/>
  <c r="W22" i="2"/>
  <c r="W14" i="2"/>
  <c r="W6" i="2"/>
  <c r="T3" i="2"/>
  <c r="T5" i="2"/>
  <c r="Q10" i="2"/>
  <c r="T22" i="2"/>
  <c r="T4" i="2"/>
  <c r="V22" i="2"/>
  <c r="X16" i="2"/>
  <c r="X9" i="2"/>
  <c r="Q2" i="2"/>
  <c r="Q9" i="2"/>
  <c r="T21" i="2"/>
  <c r="X3" i="2"/>
  <c r="X21" i="2"/>
  <c r="X14" i="2"/>
  <c r="V9" i="2"/>
  <c r="Q27" i="2"/>
  <c r="Q3" i="2"/>
  <c r="T20" i="2"/>
  <c r="X26" i="2"/>
  <c r="V21" i="2"/>
  <c r="V14" i="2"/>
  <c r="X8" i="2"/>
  <c r="Q26" i="2"/>
  <c r="T14" i="2"/>
  <c r="V26" i="2"/>
  <c r="X20" i="2"/>
  <c r="X13" i="2"/>
  <c r="X6" i="2"/>
  <c r="L23" i="2"/>
  <c r="L15" i="2"/>
  <c r="L7" i="2"/>
  <c r="Q25" i="2"/>
  <c r="T13" i="2"/>
  <c r="X25" i="2"/>
  <c r="X18" i="2"/>
  <c r="V13" i="2"/>
  <c r="V6" i="2"/>
  <c r="Q24" i="2"/>
  <c r="T12" i="2"/>
  <c r="V25" i="2"/>
  <c r="V18" i="2"/>
  <c r="X12" i="2"/>
  <c r="X5" i="2"/>
  <c r="Q12" i="2"/>
  <c r="T6" i="2"/>
  <c r="X24" i="2"/>
  <c r="X17" i="2"/>
  <c r="X10" i="2"/>
  <c r="V5" i="2"/>
  <c r="I24" i="2"/>
  <c r="J24" i="2" s="1"/>
  <c r="K24" i="2" s="1"/>
  <c r="L24" i="2" s="1"/>
  <c r="T24" i="2"/>
  <c r="I16" i="2"/>
  <c r="J16" i="2" s="1"/>
  <c r="K16" i="2" s="1"/>
  <c r="L16" i="2" s="1"/>
  <c r="T16" i="2"/>
  <c r="I8" i="2"/>
  <c r="J8" i="2" s="1"/>
  <c r="K8" i="2" s="1"/>
  <c r="L8" i="2" s="1"/>
  <c r="T8" i="2"/>
  <c r="T23" i="2"/>
  <c r="T7" i="2"/>
  <c r="I26" i="2"/>
  <c r="J26" i="2" s="1"/>
  <c r="K26" i="2" s="1"/>
  <c r="L26" i="2" s="1"/>
  <c r="T26" i="2"/>
  <c r="T27" i="2"/>
  <c r="I18" i="2"/>
  <c r="J18" i="2" s="1"/>
  <c r="K18" i="2" s="1"/>
  <c r="L18" i="2" s="1"/>
  <c r="T18" i="2"/>
  <c r="T19" i="2"/>
  <c r="I10" i="2"/>
  <c r="J10" i="2" s="1"/>
  <c r="K10" i="2" s="1"/>
  <c r="L10" i="2" s="1"/>
  <c r="T10" i="2"/>
  <c r="T11" i="2"/>
  <c r="I25" i="2"/>
  <c r="J25" i="2" s="1"/>
  <c r="K25" i="2" s="1"/>
  <c r="L25" i="2" s="1"/>
  <c r="T25" i="2"/>
  <c r="I17" i="2"/>
  <c r="J17" i="2" s="1"/>
  <c r="K17" i="2" s="1"/>
  <c r="L17" i="2" s="1"/>
  <c r="T17" i="2"/>
  <c r="I9" i="2"/>
  <c r="J9" i="2" s="1"/>
  <c r="K9" i="2" s="1"/>
  <c r="L9" i="2" s="1"/>
  <c r="T9" i="2"/>
  <c r="T15" i="2"/>
  <c r="Q20" i="2"/>
  <c r="V3" i="2"/>
  <c r="V24" i="2"/>
  <c r="V20" i="2"/>
  <c r="V16" i="2"/>
  <c r="V12" i="2"/>
  <c r="V8" i="2"/>
  <c r="V4" i="2"/>
  <c r="L2" i="2"/>
  <c r="L20" i="2"/>
  <c r="L12" i="2"/>
  <c r="L4" i="2"/>
  <c r="Q17" i="2"/>
  <c r="X27" i="2"/>
  <c r="X23" i="2"/>
  <c r="X19" i="2"/>
  <c r="X15" i="2"/>
  <c r="X11" i="2"/>
  <c r="X7" i="2"/>
  <c r="L27" i="2"/>
  <c r="L19" i="2"/>
  <c r="L3" i="2"/>
  <c r="Q16" i="2"/>
  <c r="V27" i="2"/>
  <c r="V23" i="2"/>
  <c r="V19" i="2"/>
  <c r="V15" i="2"/>
  <c r="V11" i="2"/>
  <c r="V7" i="2"/>
  <c r="L22" i="2"/>
  <c r="L14" i="2"/>
  <c r="L6" i="2"/>
  <c r="Q19" i="2"/>
  <c r="Q8" i="2"/>
  <c r="L21" i="2"/>
  <c r="L13" i="2"/>
  <c r="L5" i="2"/>
  <c r="Q18" i="2"/>
  <c r="Q4" i="2"/>
  <c r="Q23" i="2"/>
  <c r="Q15" i="2"/>
  <c r="Q7" i="2"/>
  <c r="Q22" i="2"/>
  <c r="Q14" i="2"/>
  <c r="Q6" i="2"/>
  <c r="Q21" i="2"/>
  <c r="Q13" i="2"/>
  <c r="U5" i="2" l="1"/>
  <c r="U9" i="2"/>
  <c r="B13" i="4"/>
  <c r="B13" i="5"/>
  <c r="B21" i="4"/>
  <c r="B21" i="5"/>
  <c r="B9" i="5"/>
  <c r="B9" i="4"/>
  <c r="B3" i="4"/>
  <c r="B3" i="5"/>
  <c r="B22" i="5"/>
  <c r="B22" i="4"/>
  <c r="B17" i="5"/>
  <c r="B17" i="4"/>
  <c r="B19" i="4"/>
  <c r="B19" i="5"/>
  <c r="B25" i="5"/>
  <c r="B25" i="4"/>
  <c r="B4" i="4"/>
  <c r="B4" i="5"/>
  <c r="B12" i="4"/>
  <c r="B12" i="5"/>
  <c r="B20" i="4"/>
  <c r="B20" i="5"/>
  <c r="B5" i="4"/>
  <c r="B5" i="5"/>
  <c r="U16" i="2"/>
  <c r="U20" i="2"/>
  <c r="U22" i="2"/>
  <c r="U12" i="2"/>
  <c r="U4" i="2"/>
  <c r="U27" i="2"/>
  <c r="U25" i="2"/>
  <c r="U19" i="2"/>
  <c r="U17" i="2"/>
  <c r="U11" i="2"/>
  <c r="U26" i="2"/>
  <c r="U8" i="2"/>
  <c r="U23" i="2"/>
  <c r="U18" i="2"/>
  <c r="U13" i="2"/>
  <c r="U15" i="2"/>
  <c r="K11" i="2"/>
  <c r="N11" i="2" s="1"/>
  <c r="U14" i="2"/>
  <c r="U10" i="2"/>
  <c r="U3" i="2"/>
  <c r="K11" i="3"/>
  <c r="N13" i="2" l="1"/>
  <c r="R13" i="2" s="1"/>
  <c r="N27" i="2"/>
  <c r="Z27" i="2" s="1"/>
  <c r="N6" i="2"/>
  <c r="Y6" i="2" s="1"/>
  <c r="N20" i="2"/>
  <c r="R20" i="2" s="1"/>
  <c r="N2" i="2"/>
  <c r="R2" i="2" s="1"/>
  <c r="Z11" i="2"/>
  <c r="Y11" i="2"/>
  <c r="R27" i="2"/>
  <c r="N3" i="2"/>
  <c r="N10" i="2"/>
  <c r="N17" i="2"/>
  <c r="L11" i="2"/>
  <c r="M7" i="2" s="1"/>
  <c r="N16" i="2"/>
  <c r="N15" i="2"/>
  <c r="N25" i="2"/>
  <c r="N4" i="2"/>
  <c r="N12" i="2"/>
  <c r="N19" i="2"/>
  <c r="N14" i="2"/>
  <c r="N9" i="2"/>
  <c r="R11" i="2"/>
  <c r="N5" i="2"/>
  <c r="N21" i="2"/>
  <c r="N24" i="2"/>
  <c r="N23" i="2"/>
  <c r="N8" i="2"/>
  <c r="N22" i="2"/>
  <c r="N18" i="2"/>
  <c r="N26" i="2"/>
  <c r="N7" i="2"/>
  <c r="N24" i="3"/>
  <c r="W24" i="3" s="1"/>
  <c r="N20" i="3"/>
  <c r="W20" i="3" s="1"/>
  <c r="N16" i="3"/>
  <c r="W16" i="3" s="1"/>
  <c r="N12" i="3"/>
  <c r="W12" i="3" s="1"/>
  <c r="L11" i="3"/>
  <c r="N8" i="3"/>
  <c r="W8" i="3" s="1"/>
  <c r="N4" i="3"/>
  <c r="W4" i="3" s="1"/>
  <c r="N18" i="3"/>
  <c r="W18" i="3" s="1"/>
  <c r="N5" i="3"/>
  <c r="W5" i="3" s="1"/>
  <c r="N27" i="3"/>
  <c r="W27" i="3" s="1"/>
  <c r="N9" i="3"/>
  <c r="W9" i="3" s="1"/>
  <c r="N7" i="3"/>
  <c r="W7" i="3" s="1"/>
  <c r="N21" i="3"/>
  <c r="W21" i="3" s="1"/>
  <c r="N19" i="3"/>
  <c r="W19" i="3" s="1"/>
  <c r="N10" i="3"/>
  <c r="W10" i="3" s="1"/>
  <c r="N22" i="3"/>
  <c r="W22" i="3" s="1"/>
  <c r="N13" i="3"/>
  <c r="W13" i="3" s="1"/>
  <c r="N11" i="3"/>
  <c r="W11" i="3" s="1"/>
  <c r="N23" i="3"/>
  <c r="W23" i="3" s="1"/>
  <c r="N14" i="3"/>
  <c r="W14" i="3" s="1"/>
  <c r="N2" i="3"/>
  <c r="P2" i="3" s="1"/>
  <c r="N15" i="3"/>
  <c r="W15" i="3" s="1"/>
  <c r="N3" i="3"/>
  <c r="W3" i="3" s="1"/>
  <c r="N6" i="3"/>
  <c r="W6" i="3" s="1"/>
  <c r="N25" i="3"/>
  <c r="W25" i="3" s="1"/>
  <c r="N26" i="3"/>
  <c r="W26" i="3" s="1"/>
  <c r="N17" i="3"/>
  <c r="W17" i="3" s="1"/>
  <c r="M11" i="2" l="1"/>
  <c r="M3" i="2"/>
  <c r="Z6" i="2"/>
  <c r="M2" i="2"/>
  <c r="M22" i="2"/>
  <c r="M20" i="2"/>
  <c r="R6" i="2"/>
  <c r="M6" i="2"/>
  <c r="Y27" i="2"/>
  <c r="Y13" i="2"/>
  <c r="Z13" i="2"/>
  <c r="M10" i="2"/>
  <c r="M14" i="2"/>
  <c r="M16" i="2"/>
  <c r="M24" i="2"/>
  <c r="Y20" i="2"/>
  <c r="M27" i="2"/>
  <c r="M9" i="2"/>
  <c r="M8" i="2"/>
  <c r="M17" i="2"/>
  <c r="M21" i="2"/>
  <c r="M5" i="2"/>
  <c r="M25" i="2"/>
  <c r="M15" i="2"/>
  <c r="M18" i="2"/>
  <c r="Z20" i="2"/>
  <c r="R22" i="2"/>
  <c r="Z22" i="2"/>
  <c r="Y22" i="2"/>
  <c r="R14" i="2"/>
  <c r="S14" i="2" s="1"/>
  <c r="Z14" i="2"/>
  <c r="Y14" i="2"/>
  <c r="AA14" i="2" s="1"/>
  <c r="Z17" i="2"/>
  <c r="Y17" i="2"/>
  <c r="R17" i="2"/>
  <c r="R8" i="2"/>
  <c r="Y8" i="2"/>
  <c r="Z8" i="2"/>
  <c r="R19" i="2"/>
  <c r="Z19" i="2"/>
  <c r="Y19" i="2"/>
  <c r="Z10" i="2"/>
  <c r="Y10" i="2"/>
  <c r="R10" i="2"/>
  <c r="AB11" i="2" s="1"/>
  <c r="R23" i="2"/>
  <c r="Z23" i="2"/>
  <c r="Y23" i="2"/>
  <c r="Z12" i="2"/>
  <c r="Y12" i="2"/>
  <c r="R12" i="2"/>
  <c r="S12" i="2" s="1"/>
  <c r="Z3" i="2"/>
  <c r="Y3" i="2"/>
  <c r="R3" i="2"/>
  <c r="S3" i="2" s="1"/>
  <c r="R24" i="2"/>
  <c r="S24" i="2" s="1"/>
  <c r="Y24" i="2"/>
  <c r="Z24" i="2"/>
  <c r="R4" i="2"/>
  <c r="Z4" i="2"/>
  <c r="Y4" i="2"/>
  <c r="R21" i="2"/>
  <c r="S21" i="2" s="1"/>
  <c r="Z21" i="2"/>
  <c r="Y21" i="2"/>
  <c r="R25" i="2"/>
  <c r="Z25" i="2"/>
  <c r="Y25" i="2"/>
  <c r="Z7" i="2"/>
  <c r="Y7" i="2"/>
  <c r="R7" i="2"/>
  <c r="R5" i="2"/>
  <c r="Z5" i="2"/>
  <c r="Y5" i="2"/>
  <c r="R15" i="2"/>
  <c r="Z15" i="2"/>
  <c r="Y15" i="2"/>
  <c r="R26" i="2"/>
  <c r="Z26" i="2"/>
  <c r="Y26" i="2"/>
  <c r="R16" i="2"/>
  <c r="Y16" i="2"/>
  <c r="Z16" i="2"/>
  <c r="R18" i="2"/>
  <c r="Z18" i="2"/>
  <c r="Y18" i="2"/>
  <c r="Z9" i="2"/>
  <c r="Y9" i="2"/>
  <c r="R9" i="2"/>
  <c r="M4" i="2"/>
  <c r="M13" i="2"/>
  <c r="M19" i="2"/>
  <c r="M12" i="2"/>
  <c r="M26" i="2"/>
  <c r="M23" i="2"/>
  <c r="AA17" i="3"/>
  <c r="Z17" i="3"/>
  <c r="X17" i="3"/>
  <c r="Y17" i="3"/>
  <c r="AB17" i="3" s="1"/>
  <c r="AA23" i="3"/>
  <c r="Z23" i="3"/>
  <c r="Y23" i="3"/>
  <c r="X23" i="3"/>
  <c r="AA9" i="3"/>
  <c r="Z9" i="3"/>
  <c r="Y9" i="3"/>
  <c r="X9" i="3"/>
  <c r="AA16" i="3"/>
  <c r="Z16" i="3"/>
  <c r="Y16" i="3"/>
  <c r="X16" i="3"/>
  <c r="AA26" i="3"/>
  <c r="Z26" i="3"/>
  <c r="Y26" i="3"/>
  <c r="X26" i="3"/>
  <c r="AA11" i="3"/>
  <c r="Y11" i="3"/>
  <c r="X11" i="3"/>
  <c r="Z11" i="3"/>
  <c r="AA27" i="3"/>
  <c r="X27" i="3"/>
  <c r="Y27" i="3"/>
  <c r="Z27" i="3"/>
  <c r="AC27" i="3" s="1"/>
  <c r="X20" i="3"/>
  <c r="Y20" i="3"/>
  <c r="Z20" i="3"/>
  <c r="AA20" i="3"/>
  <c r="AA25" i="3"/>
  <c r="Z25" i="3"/>
  <c r="Y25" i="3"/>
  <c r="X25" i="3"/>
  <c r="Y13" i="3"/>
  <c r="X13" i="3"/>
  <c r="AA13" i="3"/>
  <c r="Z13" i="3"/>
  <c r="Y5" i="3"/>
  <c r="X5" i="3"/>
  <c r="Z5" i="3"/>
  <c r="AA5" i="3"/>
  <c r="AA24" i="3"/>
  <c r="Z24" i="3"/>
  <c r="Y24" i="3"/>
  <c r="X24" i="3"/>
  <c r="Z6" i="3"/>
  <c r="Y6" i="3"/>
  <c r="X6" i="3"/>
  <c r="AA6" i="3"/>
  <c r="Z22" i="3"/>
  <c r="Y22" i="3"/>
  <c r="X22" i="3"/>
  <c r="AA22" i="3"/>
  <c r="AA18" i="3"/>
  <c r="Z18" i="3"/>
  <c r="X18" i="3"/>
  <c r="Y18" i="3"/>
  <c r="AB18" i="3" s="1"/>
  <c r="X3" i="3"/>
  <c r="AA3" i="3"/>
  <c r="Y3" i="3"/>
  <c r="Z3" i="3"/>
  <c r="AA10" i="3"/>
  <c r="Y10" i="3"/>
  <c r="X10" i="3"/>
  <c r="Z10" i="3"/>
  <c r="AC10" i="3" s="1"/>
  <c r="X4" i="3"/>
  <c r="Z4" i="3"/>
  <c r="Y4" i="3"/>
  <c r="AA4" i="3"/>
  <c r="AA15" i="3"/>
  <c r="Z15" i="3"/>
  <c r="Y15" i="3"/>
  <c r="X15" i="3"/>
  <c r="Y19" i="3"/>
  <c r="X19" i="3"/>
  <c r="Z19" i="3"/>
  <c r="AA19" i="3"/>
  <c r="AA8" i="3"/>
  <c r="Z8" i="3"/>
  <c r="Y8" i="3"/>
  <c r="X8" i="3"/>
  <c r="Y21" i="3"/>
  <c r="X21" i="3"/>
  <c r="Z21" i="3"/>
  <c r="AA21" i="3"/>
  <c r="Z14" i="3"/>
  <c r="Y14" i="3"/>
  <c r="X14" i="3"/>
  <c r="AA14" i="3"/>
  <c r="AA7" i="3"/>
  <c r="Z7" i="3"/>
  <c r="Y7" i="3"/>
  <c r="X7" i="3"/>
  <c r="X12" i="3"/>
  <c r="AA12" i="3"/>
  <c r="Y12" i="3"/>
  <c r="Z12" i="3"/>
  <c r="AC12" i="3" s="1"/>
  <c r="P6" i="3"/>
  <c r="P22" i="3"/>
  <c r="P18" i="3"/>
  <c r="P3" i="3"/>
  <c r="R3" i="3" s="1"/>
  <c r="P10" i="3"/>
  <c r="P4" i="3"/>
  <c r="P15" i="3"/>
  <c r="P19" i="3"/>
  <c r="P8" i="3"/>
  <c r="P21" i="3"/>
  <c r="M11" i="3"/>
  <c r="M2" i="3"/>
  <c r="M9" i="3"/>
  <c r="M26" i="3"/>
  <c r="M14" i="3"/>
  <c r="M22" i="3"/>
  <c r="M6" i="3"/>
  <c r="M4" i="3"/>
  <c r="M5" i="3"/>
  <c r="M13" i="3"/>
  <c r="M10" i="3"/>
  <c r="M23" i="3"/>
  <c r="M20" i="3"/>
  <c r="M18" i="3"/>
  <c r="M25" i="3"/>
  <c r="M21" i="3"/>
  <c r="M17" i="3"/>
  <c r="M12" i="3"/>
  <c r="M19" i="3"/>
  <c r="M24" i="3"/>
  <c r="M15" i="3"/>
  <c r="M16" i="3"/>
  <c r="M27" i="3"/>
  <c r="M8" i="3"/>
  <c r="M7" i="3"/>
  <c r="M3" i="3"/>
  <c r="P14" i="3"/>
  <c r="P7" i="3"/>
  <c r="P12" i="3"/>
  <c r="R12" i="3" s="1"/>
  <c r="P17" i="3"/>
  <c r="P23" i="3"/>
  <c r="P9" i="3"/>
  <c r="P16" i="3"/>
  <c r="P26" i="3"/>
  <c r="P11" i="3"/>
  <c r="P27" i="3"/>
  <c r="P20" i="3"/>
  <c r="P25" i="3"/>
  <c r="P13" i="3"/>
  <c r="P5" i="3"/>
  <c r="P24" i="3"/>
  <c r="AA11" i="2" l="1"/>
  <c r="AC11" i="2" s="1"/>
  <c r="AB6" i="2"/>
  <c r="S7" i="2"/>
  <c r="AB20" i="2"/>
  <c r="S18" i="2"/>
  <c r="AA5" i="2"/>
  <c r="AA23" i="2"/>
  <c r="AB13" i="2"/>
  <c r="S23" i="2"/>
  <c r="AB17" i="2"/>
  <c r="AA24" i="2"/>
  <c r="AB12" i="2"/>
  <c r="AB21" i="2"/>
  <c r="AA7" i="2"/>
  <c r="AB8" i="2"/>
  <c r="AA15" i="2"/>
  <c r="AA6" i="2"/>
  <c r="AC6" i="2" s="1"/>
  <c r="AA13" i="2"/>
  <c r="S8" i="2"/>
  <c r="S9" i="2"/>
  <c r="AB16" i="2"/>
  <c r="S15" i="2"/>
  <c r="AC3" i="3"/>
  <c r="AC13" i="3"/>
  <c r="AC11" i="3"/>
  <c r="S26" i="2"/>
  <c r="S27" i="2"/>
  <c r="AA19" i="2"/>
  <c r="AB7" i="2"/>
  <c r="AC7" i="2" s="1"/>
  <c r="AB19" i="2"/>
  <c r="AB15" i="2"/>
  <c r="AB27" i="2"/>
  <c r="AA27" i="2"/>
  <c r="AB23" i="2"/>
  <c r="S19" i="2"/>
  <c r="S20" i="2"/>
  <c r="AB14" i="2"/>
  <c r="AC14" i="2" s="1"/>
  <c r="AA9" i="2"/>
  <c r="AA16" i="2"/>
  <c r="AC16" i="2" s="1"/>
  <c r="AA25" i="2"/>
  <c r="AA4" i="2"/>
  <c r="AA3" i="2"/>
  <c r="AA20" i="2"/>
  <c r="AC20" i="2" s="1"/>
  <c r="AA8" i="2"/>
  <c r="AA22" i="2"/>
  <c r="AB9" i="2"/>
  <c r="S16" i="2"/>
  <c r="AB5" i="2"/>
  <c r="AB25" i="2"/>
  <c r="AB4" i="2"/>
  <c r="AB3" i="2"/>
  <c r="S10" i="2"/>
  <c r="S11" i="2"/>
  <c r="AB22" i="2"/>
  <c r="AA18" i="2"/>
  <c r="AA26" i="2"/>
  <c r="S5" i="2"/>
  <c r="S6" i="2"/>
  <c r="S25" i="2"/>
  <c r="S4" i="2"/>
  <c r="AA10" i="2"/>
  <c r="S17" i="2"/>
  <c r="S22" i="2"/>
  <c r="AB18" i="2"/>
  <c r="AB26" i="2"/>
  <c r="AA21" i="2"/>
  <c r="AB24" i="2"/>
  <c r="AA12" i="2"/>
  <c r="AB10" i="2"/>
  <c r="AA17" i="2"/>
  <c r="S13" i="2"/>
  <c r="AB7" i="3"/>
  <c r="AC21" i="3"/>
  <c r="AC19" i="3"/>
  <c r="AB4" i="3"/>
  <c r="AB3" i="3"/>
  <c r="AB24" i="3"/>
  <c r="AE24" i="3" s="1"/>
  <c r="AG24" i="3" s="1"/>
  <c r="AC20" i="3"/>
  <c r="AF20" i="3" s="1"/>
  <c r="AH20" i="3" s="1"/>
  <c r="AB16" i="3"/>
  <c r="AB23" i="3"/>
  <c r="AC7" i="3"/>
  <c r="AC4" i="3"/>
  <c r="AB22" i="3"/>
  <c r="AC24" i="3"/>
  <c r="AB20" i="3"/>
  <c r="AB11" i="3"/>
  <c r="AC16" i="3"/>
  <c r="AF16" i="3" s="1"/>
  <c r="AH16" i="3" s="1"/>
  <c r="AC23" i="3"/>
  <c r="AF23" i="3" s="1"/>
  <c r="AH23" i="3" s="1"/>
  <c r="AB21" i="3"/>
  <c r="AE21" i="3" s="1"/>
  <c r="AG21" i="3" s="1"/>
  <c r="AB19" i="3"/>
  <c r="AE19" i="3" s="1"/>
  <c r="AG19" i="3" s="1"/>
  <c r="AC22" i="3"/>
  <c r="AB13" i="3"/>
  <c r="R19" i="3"/>
  <c r="AD10" i="3"/>
  <c r="AB12" i="3"/>
  <c r="AE12" i="3" s="1"/>
  <c r="AG12" i="3" s="1"/>
  <c r="AB8" i="3"/>
  <c r="AB15" i="3"/>
  <c r="AC5" i="3"/>
  <c r="AB25" i="3"/>
  <c r="AB27" i="3"/>
  <c r="AE27" i="3" s="1"/>
  <c r="AG27" i="3" s="1"/>
  <c r="AB26" i="3"/>
  <c r="AB9" i="3"/>
  <c r="R4" i="3"/>
  <c r="AB14" i="3"/>
  <c r="AC8" i="3"/>
  <c r="AC15" i="3"/>
  <c r="AB10" i="3"/>
  <c r="AE10" i="3" s="1"/>
  <c r="AG10" i="3" s="1"/>
  <c r="AC18" i="3"/>
  <c r="AF18" i="3" s="1"/>
  <c r="AH18" i="3" s="1"/>
  <c r="AB6" i="3"/>
  <c r="AE6" i="3" s="1"/>
  <c r="AG6" i="3" s="1"/>
  <c r="AC25" i="3"/>
  <c r="AF25" i="3" s="1"/>
  <c r="AH25" i="3" s="1"/>
  <c r="AC26" i="3"/>
  <c r="AC9" i="3"/>
  <c r="AC17" i="3"/>
  <c r="AF17" i="3" s="1"/>
  <c r="AH17" i="3" s="1"/>
  <c r="AC14" i="3"/>
  <c r="AC6" i="3"/>
  <c r="AB5" i="3"/>
  <c r="R10" i="3"/>
  <c r="R7" i="3"/>
  <c r="R26" i="3"/>
  <c r="R16" i="3"/>
  <c r="R23" i="3"/>
  <c r="R6" i="3"/>
  <c r="R20" i="3"/>
  <c r="R13" i="3"/>
  <c r="R27" i="3"/>
  <c r="R21" i="3"/>
  <c r="R22" i="3"/>
  <c r="R24" i="3"/>
  <c r="R25" i="3"/>
  <c r="R17" i="3"/>
  <c r="R14" i="3"/>
  <c r="R8" i="3"/>
  <c r="R15" i="3"/>
  <c r="R9" i="3"/>
  <c r="R5" i="3"/>
  <c r="R11" i="3"/>
  <c r="R18" i="3"/>
  <c r="AD13" i="3" l="1"/>
  <c r="AF3" i="3"/>
  <c r="AH3" i="3" s="1"/>
  <c r="AF22" i="3"/>
  <c r="AH22" i="3" s="1"/>
  <c r="D21" i="5" s="1"/>
  <c r="AF8" i="3"/>
  <c r="AH8" i="3" s="1"/>
  <c r="D7" i="4" s="1"/>
  <c r="AF7" i="3"/>
  <c r="AH7" i="3" s="1"/>
  <c r="AF13" i="3"/>
  <c r="AH13" i="3" s="1"/>
  <c r="AC5" i="2"/>
  <c r="AC15" i="2"/>
  <c r="AF11" i="3"/>
  <c r="AH11" i="3" s="1"/>
  <c r="AC23" i="2"/>
  <c r="AC13" i="2"/>
  <c r="AC27" i="2"/>
  <c r="AC24" i="2"/>
  <c r="AE5" i="3"/>
  <c r="AG5" i="3" s="1"/>
  <c r="C4" i="4" s="1"/>
  <c r="AC17" i="2"/>
  <c r="AC12" i="2"/>
  <c r="AC22" i="2"/>
  <c r="AC8" i="2"/>
  <c r="AC19" i="2"/>
  <c r="AC21" i="2"/>
  <c r="AE9" i="3"/>
  <c r="AG9" i="3" s="1"/>
  <c r="C8" i="5" s="1"/>
  <c r="AE26" i="3"/>
  <c r="AG26" i="3" s="1"/>
  <c r="C25" i="4" s="1"/>
  <c r="AD12" i="3"/>
  <c r="AE17" i="3"/>
  <c r="AG17" i="3" s="1"/>
  <c r="C16" i="5" s="1"/>
  <c r="AF14" i="3"/>
  <c r="AH14" i="3" s="1"/>
  <c r="D13" i="5" s="1"/>
  <c r="AF15" i="3"/>
  <c r="AH15" i="3" s="1"/>
  <c r="D14" i="5" s="1"/>
  <c r="AE4" i="3"/>
  <c r="AG4" i="3" s="1"/>
  <c r="C3" i="4" s="1"/>
  <c r="AF12" i="3"/>
  <c r="AH12" i="3" s="1"/>
  <c r="D11" i="4" s="1"/>
  <c r="D24" i="4"/>
  <c r="D24" i="5"/>
  <c r="D15" i="4"/>
  <c r="D15" i="5"/>
  <c r="D10" i="5"/>
  <c r="D10" i="4"/>
  <c r="D19" i="4"/>
  <c r="D19" i="5"/>
  <c r="C26" i="5"/>
  <c r="C26" i="4"/>
  <c r="AE20" i="3"/>
  <c r="AG20" i="3" s="1"/>
  <c r="C23" i="4"/>
  <c r="C23" i="5"/>
  <c r="C9" i="4"/>
  <c r="C9" i="5"/>
  <c r="AE13" i="3"/>
  <c r="AG13" i="3" s="1"/>
  <c r="AF24" i="3"/>
  <c r="AH24" i="3" s="1"/>
  <c r="AF5" i="3"/>
  <c r="AH5" i="3" s="1"/>
  <c r="AF10" i="3"/>
  <c r="AH10" i="3" s="1"/>
  <c r="D7" i="5"/>
  <c r="AE15" i="3"/>
  <c r="AG15" i="3" s="1"/>
  <c r="AF4" i="3"/>
  <c r="AH4" i="3" s="1"/>
  <c r="AF9" i="3"/>
  <c r="AH9" i="3" s="1"/>
  <c r="AE8" i="3"/>
  <c r="AG8" i="3" s="1"/>
  <c r="C20" i="4"/>
  <c r="C20" i="5"/>
  <c r="D6" i="5"/>
  <c r="D6" i="4"/>
  <c r="AF21" i="3"/>
  <c r="AH21" i="3" s="1"/>
  <c r="AF27" i="3"/>
  <c r="AH27" i="3" s="1"/>
  <c r="AE16" i="3"/>
  <c r="AG16" i="3" s="1"/>
  <c r="C5" i="5"/>
  <c r="C5" i="4"/>
  <c r="AE11" i="3"/>
  <c r="AG11" i="3" s="1"/>
  <c r="D12" i="4"/>
  <c r="D12" i="5"/>
  <c r="D17" i="5"/>
  <c r="D17" i="4"/>
  <c r="D2" i="5"/>
  <c r="D2" i="4"/>
  <c r="AF6" i="3"/>
  <c r="AH6" i="3" s="1"/>
  <c r="AE25" i="3"/>
  <c r="AG25" i="3" s="1"/>
  <c r="AE3" i="3"/>
  <c r="AG3" i="3" s="1"/>
  <c r="AE22" i="3"/>
  <c r="AG22" i="3" s="1"/>
  <c r="D16" i="4"/>
  <c r="D16" i="5"/>
  <c r="C18" i="5"/>
  <c r="C18" i="4"/>
  <c r="AF19" i="3"/>
  <c r="AH19" i="3" s="1"/>
  <c r="AE14" i="3"/>
  <c r="AG14" i="3" s="1"/>
  <c r="AF26" i="3"/>
  <c r="AH26" i="3" s="1"/>
  <c r="C11" i="4"/>
  <c r="C11" i="5"/>
  <c r="D22" i="5"/>
  <c r="D22" i="4"/>
  <c r="AE23" i="3"/>
  <c r="AG23" i="3" s="1"/>
  <c r="AE7" i="3"/>
  <c r="AG7" i="3" s="1"/>
  <c r="AE18" i="3"/>
  <c r="AG18" i="3" s="1"/>
  <c r="AC10" i="2"/>
  <c r="AC3" i="2"/>
  <c r="AC4" i="2"/>
  <c r="AC26" i="2"/>
  <c r="AC25" i="2"/>
  <c r="AC18" i="2"/>
  <c r="AC9" i="2"/>
  <c r="AD14" i="3"/>
  <c r="AD5" i="3"/>
  <c r="AD21" i="3"/>
  <c r="AD17" i="3"/>
  <c r="AD8" i="3"/>
  <c r="AD23" i="3"/>
  <c r="AD9" i="3"/>
  <c r="AD11" i="3"/>
  <c r="AD25" i="3"/>
  <c r="AD24" i="3"/>
  <c r="AD18" i="3"/>
  <c r="AD27" i="3"/>
  <c r="AD22" i="3"/>
  <c r="AD3" i="3"/>
  <c r="AD15" i="3"/>
  <c r="AD7" i="3"/>
  <c r="AD16" i="3"/>
  <c r="AD26" i="3"/>
  <c r="AD20" i="3"/>
  <c r="AD6" i="3"/>
  <c r="AD4" i="3"/>
  <c r="AD19" i="3"/>
  <c r="D21" i="4" l="1"/>
  <c r="C4" i="5"/>
  <c r="D13" i="4"/>
  <c r="C16" i="4"/>
  <c r="C25" i="5"/>
  <c r="C8" i="4"/>
  <c r="D11" i="5"/>
  <c r="D14" i="4"/>
  <c r="C3" i="5"/>
  <c r="D8" i="4"/>
  <c r="D8" i="5"/>
  <c r="D4" i="4"/>
  <c r="D4" i="5"/>
  <c r="D3" i="4"/>
  <c r="D3" i="5"/>
  <c r="D25" i="5"/>
  <c r="D25" i="4"/>
  <c r="D20" i="4"/>
  <c r="D20" i="5"/>
  <c r="C17" i="4"/>
  <c r="C17" i="5"/>
  <c r="C21" i="5"/>
  <c r="C21" i="4"/>
  <c r="C24" i="5"/>
  <c r="C24" i="4"/>
  <c r="C6" i="4"/>
  <c r="C6" i="5"/>
  <c r="D5" i="5"/>
  <c r="D5" i="4"/>
  <c r="C22" i="4"/>
  <c r="C22" i="5"/>
  <c r="D9" i="5"/>
  <c r="D9" i="4"/>
  <c r="D18" i="5"/>
  <c r="D18" i="4"/>
  <c r="C15" i="4"/>
  <c r="C15" i="5"/>
  <c r="D26" i="5"/>
  <c r="D26" i="4"/>
  <c r="C19" i="4"/>
  <c r="C19" i="5"/>
  <c r="C2" i="5"/>
  <c r="C2" i="4"/>
  <c r="C14" i="4"/>
  <c r="C14" i="5"/>
  <c r="C13" i="5"/>
  <c r="C13" i="4"/>
  <c r="C10" i="5"/>
  <c r="C10" i="4"/>
  <c r="D23" i="4"/>
  <c r="D23" i="5"/>
  <c r="C12" i="4"/>
  <c r="C12" i="5"/>
  <c r="C7" i="4"/>
  <c r="C7" i="5"/>
</calcChain>
</file>

<file path=xl/sharedStrings.xml><?xml version="1.0" encoding="utf-8"?>
<sst xmlns="http://schemas.openxmlformats.org/spreadsheetml/2006/main" count="71" uniqueCount="47">
  <si>
    <t>Year</t>
  </si>
  <si>
    <t>Total Usage</t>
  </si>
  <si>
    <t>Real MYA Price</t>
  </si>
  <si>
    <t>Supply</t>
  </si>
  <si>
    <t>Elasticity</t>
  </si>
  <si>
    <t>A</t>
  </si>
  <si>
    <t>inverted elasticiy</t>
  </si>
  <si>
    <t>P~</t>
  </si>
  <si>
    <t>S</t>
  </si>
  <si>
    <t>V</t>
  </si>
  <si>
    <t>IV</t>
  </si>
  <si>
    <t>K</t>
  </si>
  <si>
    <t>P</t>
  </si>
  <si>
    <t>b0</t>
  </si>
  <si>
    <t>b1</t>
  </si>
  <si>
    <t>G</t>
  </si>
  <si>
    <t>y</t>
  </si>
  <si>
    <t>supply</t>
  </si>
  <si>
    <t>use</t>
  </si>
  <si>
    <t>dPrice</t>
  </si>
  <si>
    <t>KD</t>
  </si>
  <si>
    <t>GD</t>
  </si>
  <si>
    <t>GS</t>
  </si>
  <si>
    <t>yD</t>
  </si>
  <si>
    <t>yS</t>
  </si>
  <si>
    <t>KS</t>
  </si>
  <si>
    <t>dy</t>
  </si>
  <si>
    <t>U</t>
  </si>
  <si>
    <t>S0</t>
  </si>
  <si>
    <t>S1</t>
  </si>
  <si>
    <t>U1</t>
  </si>
  <si>
    <t>U0</t>
  </si>
  <si>
    <t>const</t>
  </si>
  <si>
    <t>Pred_Base</t>
  </si>
  <si>
    <t>Pred_S_Only</t>
  </si>
  <si>
    <t>Pred_U_Only</t>
  </si>
  <si>
    <t>Pred_Curr</t>
  </si>
  <si>
    <t>C(S)</t>
  </si>
  <si>
    <t>C(U)</t>
  </si>
  <si>
    <t>lambda_S</t>
  </si>
  <si>
    <t>lambda_U</t>
  </si>
  <si>
    <t>E(S)</t>
  </si>
  <si>
    <t>E(U)</t>
  </si>
  <si>
    <t>dp</t>
  </si>
  <si>
    <t>Usage-Driven Price Impact</t>
  </si>
  <si>
    <t>Supply-Driven Price Impact</t>
  </si>
  <si>
    <t>Change in Price ($/bu, MYA)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</si>
</sst>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6" borderId="0" xfId="0" applyFill="1"/>
    <xf numFmtId="164" fontId="0" fillId="7" borderId="0" xfId="1" applyNumberFormat="1" applyFont="1" applyFill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chart1!$A:$A</c15:sqref>
                  </c15:fullRef>
                </c:ext>
              </c:extLst>
              <c:f>chart1!$A$2:$A$1048576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chart1!$C$2:$C$26</c15:sqref>
                  </c15:fullRef>
                </c:ext>
              </c:extLst>
              <c:f>chart1!$C$3:$C$26</c:f>
              <c:numCache>
                <c:formatCode>"$"#,##0.00</c:formatCode>
                <c:ptCount val="24"/>
                <c:pt idx="0">
                  <c:v>1.0723367083517974</c:v>
                </c:pt>
                <c:pt idx="1">
                  <c:v>1.6900238490223631</c:v>
                </c:pt>
                <c:pt idx="2">
                  <c:v>1.7950017266681768</c:v>
                </c:pt>
                <c:pt idx="3">
                  <c:v>0.15922090205044406</c:v>
                </c:pt>
                <c:pt idx="4">
                  <c:v>-0.62548348707549561</c:v>
                </c:pt>
                <c:pt idx="5">
                  <c:v>5.215189847666414</c:v>
                </c:pt>
                <c:pt idx="6">
                  <c:v>-0.93483784090793209</c:v>
                </c:pt>
                <c:pt idx="7">
                  <c:v>0.43200078283620041</c:v>
                </c:pt>
                <c:pt idx="8">
                  <c:v>0.41509164029789619</c:v>
                </c:pt>
                <c:pt idx="9">
                  <c:v>0.65166550342751051</c:v>
                </c:pt>
                <c:pt idx="10">
                  <c:v>1.377944442864369</c:v>
                </c:pt>
                <c:pt idx="11">
                  <c:v>1.0427076809002429</c:v>
                </c:pt>
                <c:pt idx="12">
                  <c:v>2.3932201630027117</c:v>
                </c:pt>
                <c:pt idx="13">
                  <c:v>0.91655993136813885</c:v>
                </c:pt>
                <c:pt idx="14">
                  <c:v>-0.37396471936116621</c:v>
                </c:pt>
                <c:pt idx="15">
                  <c:v>0.20959851034676003</c:v>
                </c:pt>
                <c:pt idx="16">
                  <c:v>0.34977616080598101</c:v>
                </c:pt>
                <c:pt idx="17">
                  <c:v>-9.0827732889293342E-2</c:v>
                </c:pt>
                <c:pt idx="18">
                  <c:v>-0.7876781623876965</c:v>
                </c:pt>
                <c:pt idx="19">
                  <c:v>0.98767778341792622</c:v>
                </c:pt>
                <c:pt idx="20">
                  <c:v>-0.21024209228744478</c:v>
                </c:pt>
                <c:pt idx="21">
                  <c:v>-0.98486017606249854</c:v>
                </c:pt>
                <c:pt idx="22">
                  <c:v>1.2775273261407076</c:v>
                </c:pt>
                <c:pt idx="23">
                  <c:v>2.0802429907541844E-3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F-4F1A-A308-F783152371CB}"/>
            </c:ext>
          </c:extLst>
        </c:ser>
        <c:ser>
          <c:idx val="1"/>
          <c:order val="1"/>
          <c:tx>
            <c:strRef>
              <c:f>chart1!$D$1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chart1!$A:$A</c15:sqref>
                  </c15:fullRef>
                </c:ext>
              </c:extLst>
              <c:f>chart1!$A$2:$A$1048576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chart1!$D$2:$D$26</c15:sqref>
                  </c15:fullRef>
                </c:ext>
              </c:extLst>
              <c:f>chart1!$D$3:$D$26</c:f>
              <c:numCache>
                <c:formatCode>"$"#,##0.00</c:formatCode>
                <c:ptCount val="24"/>
                <c:pt idx="0">
                  <c:v>-0.94845684976623934</c:v>
                </c:pt>
                <c:pt idx="1">
                  <c:v>-1.4438230845925772</c:v>
                </c:pt>
                <c:pt idx="2">
                  <c:v>-1.5153613457099608</c:v>
                </c:pt>
                <c:pt idx="3">
                  <c:v>0.22419360283100648</c:v>
                </c:pt>
                <c:pt idx="4">
                  <c:v>0.45988415132093852</c:v>
                </c:pt>
                <c:pt idx="5">
                  <c:v>-0.39449555092869165</c:v>
                </c:pt>
                <c:pt idx="6">
                  <c:v>0.11357730811758202</c:v>
                </c:pt>
                <c:pt idx="7">
                  <c:v>-0.43394225836803396</c:v>
                </c:pt>
                <c:pt idx="8">
                  <c:v>-2.0753310481247942</c:v>
                </c:pt>
                <c:pt idx="9">
                  <c:v>-0.50474491656185649</c:v>
                </c:pt>
                <c:pt idx="10">
                  <c:v>-0.90060238081583632</c:v>
                </c:pt>
                <c:pt idx="11">
                  <c:v>-1.2317179474030731</c:v>
                </c:pt>
                <c:pt idx="12">
                  <c:v>-2.0073922604443548</c:v>
                </c:pt>
                <c:pt idx="13">
                  <c:v>-0.89513313318669552</c:v>
                </c:pt>
                <c:pt idx="14">
                  <c:v>0.28828330273463271</c:v>
                </c:pt>
                <c:pt idx="15">
                  <c:v>-8.6668530675766076E-2</c:v>
                </c:pt>
                <c:pt idx="16">
                  <c:v>0.94206029372415334</c:v>
                </c:pt>
                <c:pt idx="17">
                  <c:v>6.5380256090097734E-4</c:v>
                </c:pt>
                <c:pt idx="18">
                  <c:v>1.6515296888519739</c:v>
                </c:pt>
                <c:pt idx="19">
                  <c:v>-1.5347391722660817</c:v>
                </c:pt>
                <c:pt idx="20">
                  <c:v>0.20960122543523024</c:v>
                </c:pt>
                <c:pt idx="21">
                  <c:v>1.7239903337790377</c:v>
                </c:pt>
                <c:pt idx="22">
                  <c:v>-1.453315085949799</c:v>
                </c:pt>
                <c:pt idx="23">
                  <c:v>-2.6390409799520163E-3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F-4F1A-A308-F7831523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3840944"/>
        <c:axId val="703827024"/>
      </c:barChart>
      <c:lineChart>
        <c:grouping val="standard"/>
        <c:varyColors val="0"/>
        <c:ser>
          <c:idx val="2"/>
          <c:order val="2"/>
          <c:tx>
            <c:strRef>
              <c:f>chart1!$B$1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strLit>
              <c:ptCount val="24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chart1!$B$2:$B$26</c15:sqref>
                  </c15:fullRef>
                </c:ext>
              </c:extLst>
              <c:f>chart1!$B$3:$B$26</c:f>
              <c:numCache>
                <c:formatCode>"$"#,##0.00</c:formatCode>
                <c:ptCount val="24"/>
                <c:pt idx="0">
                  <c:v>2.0207935581180365</c:v>
                </c:pt>
                <c:pt idx="1">
                  <c:v>3.1338469336149402</c:v>
                </c:pt>
                <c:pt idx="2">
                  <c:v>-3.3103630723781379</c:v>
                </c:pt>
                <c:pt idx="3">
                  <c:v>-0.38341450488145057</c:v>
                </c:pt>
                <c:pt idx="4">
                  <c:v>1.0853676383964341</c:v>
                </c:pt>
                <c:pt idx="5">
                  <c:v>5.6096853985951061</c:v>
                </c:pt>
                <c:pt idx="6">
                  <c:v>-1.048415149025514</c:v>
                </c:pt>
                <c:pt idx="7">
                  <c:v>-0.86594304120423438</c:v>
                </c:pt>
                <c:pt idx="8">
                  <c:v>2.4904226884226901</c:v>
                </c:pt>
                <c:pt idx="9">
                  <c:v>1.156410419989367</c:v>
                </c:pt>
                <c:pt idx="10">
                  <c:v>2.2785468236802053</c:v>
                </c:pt>
                <c:pt idx="11">
                  <c:v>-2.274425628303316</c:v>
                </c:pt>
                <c:pt idx="12">
                  <c:v>-4.4006124234470665</c:v>
                </c:pt>
                <c:pt idx="13">
                  <c:v>-1.8116930645548344</c:v>
                </c:pt>
                <c:pt idx="14">
                  <c:v>0.66224802209579892</c:v>
                </c:pt>
                <c:pt idx="15">
                  <c:v>-0.2962670410225261</c:v>
                </c:pt>
                <c:pt idx="16">
                  <c:v>-1.2918364545301344</c:v>
                </c:pt>
                <c:pt idx="17">
                  <c:v>-9.1481535450194329E-2</c:v>
                </c:pt>
                <c:pt idx="18">
                  <c:v>2.4392078512396704</c:v>
                </c:pt>
                <c:pt idx="19">
                  <c:v>2.5224169556840081</c:v>
                </c:pt>
                <c:pt idx="20">
                  <c:v>-0.41984331772267502</c:v>
                </c:pt>
                <c:pt idx="21">
                  <c:v>-2.7088505098415361</c:v>
                </c:pt>
                <c:pt idx="22">
                  <c:v>-2.7308424120905066</c:v>
                </c:pt>
                <c:pt idx="23">
                  <c:v>4.7192839707062006E-3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F-4F1A-A308-F7831523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840944"/>
        <c:axId val="703827024"/>
      </c:line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chart2!$C$1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chart2!$A:$A</c15:sqref>
                  </c15:fullRef>
                </c:ext>
              </c:extLst>
              <c:f>chart2!$A$2:$A$1048576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chart2!$C$2:$C$26</c15:sqref>
                  </c15:fullRef>
                </c:ext>
              </c:extLst>
              <c:f>chart2!$C$3:$C$26</c:f>
              <c:numCache>
                <c:formatCode>"$"#,##0.00</c:formatCode>
                <c:ptCount val="24"/>
                <c:pt idx="0">
                  <c:v>1.0723367083517974</c:v>
                </c:pt>
                <c:pt idx="1">
                  <c:v>1.6900238490223631</c:v>
                </c:pt>
                <c:pt idx="2">
                  <c:v>1.7950017266681768</c:v>
                </c:pt>
                <c:pt idx="3">
                  <c:v>0.15922090205044406</c:v>
                </c:pt>
                <c:pt idx="4">
                  <c:v>-0.62548348707549561</c:v>
                </c:pt>
                <c:pt idx="5">
                  <c:v>5.215189847666414</c:v>
                </c:pt>
                <c:pt idx="6">
                  <c:v>-0.93483784090793209</c:v>
                </c:pt>
                <c:pt idx="7">
                  <c:v>0.43200078283620041</c:v>
                </c:pt>
                <c:pt idx="8">
                  <c:v>0.41509164029789619</c:v>
                </c:pt>
                <c:pt idx="9">
                  <c:v>0.65166550342751051</c:v>
                </c:pt>
                <c:pt idx="10">
                  <c:v>1.377944442864369</c:v>
                </c:pt>
                <c:pt idx="11">
                  <c:v>1.0427076809002429</c:v>
                </c:pt>
                <c:pt idx="12">
                  <c:v>2.3932201630027117</c:v>
                </c:pt>
                <c:pt idx="13">
                  <c:v>0.91655993136813885</c:v>
                </c:pt>
                <c:pt idx="14">
                  <c:v>-0.37396471936116621</c:v>
                </c:pt>
                <c:pt idx="15">
                  <c:v>0.20959851034676003</c:v>
                </c:pt>
                <c:pt idx="16">
                  <c:v>0.34977616080598101</c:v>
                </c:pt>
                <c:pt idx="17">
                  <c:v>-9.0827732889293342E-2</c:v>
                </c:pt>
                <c:pt idx="18">
                  <c:v>-0.7876781623876965</c:v>
                </c:pt>
                <c:pt idx="19">
                  <c:v>0.98767778341792622</c:v>
                </c:pt>
                <c:pt idx="20">
                  <c:v>-0.21024209228744478</c:v>
                </c:pt>
                <c:pt idx="21">
                  <c:v>-0.98486017606249854</c:v>
                </c:pt>
                <c:pt idx="22">
                  <c:v>1.2775273261407076</c:v>
                </c:pt>
                <c:pt idx="23">
                  <c:v>2.0802429907541844E-3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E-4134-BCAE-AA7F1842B2FB}"/>
            </c:ext>
          </c:extLst>
        </c:ser>
        <c:ser>
          <c:idx val="1"/>
          <c:order val="1"/>
          <c:tx>
            <c:strRef>
              <c:f>chart2!$D$1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chart2!$A:$A</c15:sqref>
                  </c15:fullRef>
                </c:ext>
              </c:extLst>
              <c:f>chart2!$A$2:$A$1048576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chart2!$D$2:$D$26</c15:sqref>
                  </c15:fullRef>
                </c:ext>
              </c:extLst>
              <c:f>chart2!$D$3:$D$26</c:f>
              <c:numCache>
                <c:formatCode>"$"#,##0.00</c:formatCode>
                <c:ptCount val="24"/>
                <c:pt idx="0">
                  <c:v>-0.94845684976623934</c:v>
                </c:pt>
                <c:pt idx="1">
                  <c:v>-1.4438230845925772</c:v>
                </c:pt>
                <c:pt idx="2">
                  <c:v>-1.5153613457099608</c:v>
                </c:pt>
                <c:pt idx="3">
                  <c:v>0.22419360283100648</c:v>
                </c:pt>
                <c:pt idx="4">
                  <c:v>0.45988415132093852</c:v>
                </c:pt>
                <c:pt idx="5">
                  <c:v>-0.39449555092869165</c:v>
                </c:pt>
                <c:pt idx="6">
                  <c:v>0.11357730811758202</c:v>
                </c:pt>
                <c:pt idx="7">
                  <c:v>-0.43394225836803396</c:v>
                </c:pt>
                <c:pt idx="8">
                  <c:v>-2.0753310481247942</c:v>
                </c:pt>
                <c:pt idx="9">
                  <c:v>-0.50474491656185649</c:v>
                </c:pt>
                <c:pt idx="10">
                  <c:v>-0.90060238081583632</c:v>
                </c:pt>
                <c:pt idx="11">
                  <c:v>-1.2317179474030731</c:v>
                </c:pt>
                <c:pt idx="12">
                  <c:v>-2.0073922604443548</c:v>
                </c:pt>
                <c:pt idx="13">
                  <c:v>-0.89513313318669552</c:v>
                </c:pt>
                <c:pt idx="14">
                  <c:v>0.28828330273463271</c:v>
                </c:pt>
                <c:pt idx="15">
                  <c:v>-8.6668530675766076E-2</c:v>
                </c:pt>
                <c:pt idx="16">
                  <c:v>0.94206029372415334</c:v>
                </c:pt>
                <c:pt idx="17">
                  <c:v>6.5380256090097734E-4</c:v>
                </c:pt>
                <c:pt idx="18">
                  <c:v>1.6515296888519739</c:v>
                </c:pt>
                <c:pt idx="19">
                  <c:v>-1.5347391722660817</c:v>
                </c:pt>
                <c:pt idx="20">
                  <c:v>0.20960122543523024</c:v>
                </c:pt>
                <c:pt idx="21">
                  <c:v>1.7239903337790377</c:v>
                </c:pt>
                <c:pt idx="22">
                  <c:v>-1.453315085949799</c:v>
                </c:pt>
                <c:pt idx="23">
                  <c:v>-2.6390409799520163E-3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E-4134-BCAE-AA7F1842B2FB}"/>
            </c:ext>
          </c:extLst>
        </c:ser>
        <c:ser>
          <c:idx val="2"/>
          <c:order val="2"/>
          <c:tx>
            <c:strRef>
              <c:f>chart2!$B$1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  <a:prstDash val="dash"/>
            </a:ln>
            <a:effectLst/>
          </c:spPr>
          <c:invertIfNegative val="0"/>
          <c:cat>
            <c:strLit>
              <c:ptCount val="24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chart2!$B$2:$B$26</c15:sqref>
                  </c15:fullRef>
                </c:ext>
              </c:extLst>
              <c:f>chart2!$B$3:$B$26</c:f>
              <c:numCache>
                <c:formatCode>"$"#,##0.00</c:formatCode>
                <c:ptCount val="24"/>
                <c:pt idx="0">
                  <c:v>2.0207935581180365</c:v>
                </c:pt>
                <c:pt idx="1">
                  <c:v>3.1338469336149402</c:v>
                </c:pt>
                <c:pt idx="2">
                  <c:v>-3.3103630723781379</c:v>
                </c:pt>
                <c:pt idx="3">
                  <c:v>-0.38341450488145057</c:v>
                </c:pt>
                <c:pt idx="4">
                  <c:v>1.0853676383964341</c:v>
                </c:pt>
                <c:pt idx="5">
                  <c:v>5.6096853985951061</c:v>
                </c:pt>
                <c:pt idx="6">
                  <c:v>-1.048415149025514</c:v>
                </c:pt>
                <c:pt idx="7">
                  <c:v>-0.86594304120423438</c:v>
                </c:pt>
                <c:pt idx="8">
                  <c:v>2.4904226884226901</c:v>
                </c:pt>
                <c:pt idx="9">
                  <c:v>1.156410419989367</c:v>
                </c:pt>
                <c:pt idx="10">
                  <c:v>2.2785468236802053</c:v>
                </c:pt>
                <c:pt idx="11">
                  <c:v>-2.274425628303316</c:v>
                </c:pt>
                <c:pt idx="12">
                  <c:v>-4.4006124234470665</c:v>
                </c:pt>
                <c:pt idx="13">
                  <c:v>-1.8116930645548344</c:v>
                </c:pt>
                <c:pt idx="14">
                  <c:v>0.66224802209579892</c:v>
                </c:pt>
                <c:pt idx="15">
                  <c:v>-0.2962670410225261</c:v>
                </c:pt>
                <c:pt idx="16">
                  <c:v>-1.2918364545301344</c:v>
                </c:pt>
                <c:pt idx="17">
                  <c:v>-9.1481535450194329E-2</c:v>
                </c:pt>
                <c:pt idx="18">
                  <c:v>2.4392078512396704</c:v>
                </c:pt>
                <c:pt idx="19">
                  <c:v>2.5224169556840081</c:v>
                </c:pt>
                <c:pt idx="20">
                  <c:v>-0.41984331772267502</c:v>
                </c:pt>
                <c:pt idx="21">
                  <c:v>-2.7088505098415361</c:v>
                </c:pt>
                <c:pt idx="22">
                  <c:v>-2.7308424120905066</c:v>
                </c:pt>
                <c:pt idx="23">
                  <c:v>4.7192839707062006E-3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E-4134-BCAE-AA7F1842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3840944"/>
        <c:axId val="703827024"/>
      </c:bar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0</xdr:row>
      <xdr:rowOff>99060</xdr:rowOff>
    </xdr:from>
    <xdr:to>
      <xdr:col>14</xdr:col>
      <xdr:colOff>495300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656CA-CADF-9CC4-7FCC-7B2BD7169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0</xdr:row>
      <xdr:rowOff>99060</xdr:rowOff>
    </xdr:from>
    <xdr:to>
      <xdr:col>14</xdr:col>
      <xdr:colOff>495300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DBB96-E47D-46A9-B311-61648C6A6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367B-7F78-427D-B94E-536B1F4D818F}">
  <dimension ref="A1:AC27"/>
  <sheetViews>
    <sheetView workbookViewId="0">
      <selection activeCell="F5" sqref="F5"/>
    </sheetView>
  </sheetViews>
  <sheetFormatPr defaultRowHeight="14.4" x14ac:dyDescent="0.3"/>
  <cols>
    <col min="23" max="23" width="12" bestFit="1" customWidth="1"/>
    <col min="25" max="25" width="12" bestFit="1" customWidth="1"/>
    <col min="26" max="26" width="11" bestFit="1" customWidth="1"/>
  </cols>
  <sheetData>
    <row r="1" spans="1:29" x14ac:dyDescent="0.3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>
        <v>-0.16565854320000001</v>
      </c>
      <c r="H1" s="5" t="s">
        <v>12</v>
      </c>
      <c r="I1" s="5" t="s">
        <v>7</v>
      </c>
      <c r="J1" s="5" t="s">
        <v>5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17</v>
      </c>
      <c r="P1" s="5" t="s">
        <v>18</v>
      </c>
      <c r="Q1" s="5" t="s">
        <v>15</v>
      </c>
      <c r="R1" s="5" t="s">
        <v>16</v>
      </c>
      <c r="S1" s="5" t="s">
        <v>26</v>
      </c>
      <c r="T1" s="5" t="s">
        <v>19</v>
      </c>
      <c r="U1" s="5" t="s">
        <v>20</v>
      </c>
      <c r="V1" s="5" t="s">
        <v>21</v>
      </c>
      <c r="W1" s="5" t="s">
        <v>25</v>
      </c>
      <c r="X1" s="5" t="s">
        <v>22</v>
      </c>
      <c r="Y1" s="5" t="s">
        <v>23</v>
      </c>
      <c r="Z1" s="5" t="s">
        <v>24</v>
      </c>
      <c r="AA1" s="5" t="s">
        <v>27</v>
      </c>
      <c r="AB1" s="5" t="s">
        <v>8</v>
      </c>
    </row>
    <row r="2" spans="1:29" x14ac:dyDescent="0.3">
      <c r="A2">
        <v>2000</v>
      </c>
      <c r="B2" s="2">
        <v>2803.7647721999997</v>
      </c>
      <c r="C2" s="2">
        <v>9.0152456418383533</v>
      </c>
      <c r="D2" s="2">
        <v>3051.5275412999999</v>
      </c>
      <c r="E2" t="s">
        <v>6</v>
      </c>
      <c r="F2">
        <f>1/F1</f>
        <v>-6.0365133043135435</v>
      </c>
      <c r="G2">
        <v>2000</v>
      </c>
      <c r="H2">
        <f>C2</f>
        <v>9.0152456418383533</v>
      </c>
      <c r="I2">
        <f>H2^$F$1</f>
        <v>0.69470401339734489</v>
      </c>
      <c r="J2">
        <f>B2/I2</f>
        <v>4035.9127313639838</v>
      </c>
      <c r="K2">
        <f>D2/J2</f>
        <v>0.75609353928440881</v>
      </c>
      <c r="L2">
        <f>K2^$F$2</f>
        <v>5.407299763935228</v>
      </c>
      <c r="M2" s="1">
        <f>100*L2/$L$11</f>
        <v>48.033919140085224</v>
      </c>
      <c r="N2">
        <f>100*$K$11^-$F$2</f>
        <v>8.8831618806219037</v>
      </c>
      <c r="O2">
        <f>D2</f>
        <v>3051.5275412999999</v>
      </c>
      <c r="P2">
        <f>B2</f>
        <v>2803.7647721999997</v>
      </c>
      <c r="Q2">
        <f>(D2/B2)^$F$2</f>
        <v>0.59979505592624016</v>
      </c>
      <c r="R2" s="4">
        <f>$F$3+$F$4*(N2*H2)*Q2</f>
        <v>10.372224903818889</v>
      </c>
    </row>
    <row r="3" spans="1:29" x14ac:dyDescent="0.3">
      <c r="A3">
        <v>2001</v>
      </c>
      <c r="B3" s="2">
        <v>2932.6984154999996</v>
      </c>
      <c r="C3" s="2">
        <v>8.4303225806451625</v>
      </c>
      <c r="D3" s="2">
        <v>3140.7779885999998</v>
      </c>
      <c r="E3" t="s">
        <v>13</v>
      </c>
      <c r="F3" s="2">
        <v>5.7389455425586897</v>
      </c>
      <c r="G3">
        <v>2001</v>
      </c>
      <c r="H3">
        <f t="shared" ref="H3:H27" si="0">C3</f>
        <v>8.4303225806451625</v>
      </c>
      <c r="I3">
        <f t="shared" ref="I3:I27" si="1">H3^$F$1</f>
        <v>0.70246711758024583</v>
      </c>
      <c r="J3">
        <f t="shared" ref="J3:J27" si="2">B3/I3</f>
        <v>4174.855081618799</v>
      </c>
      <c r="K3">
        <f t="shared" ref="K3:K27" si="3">D3/J3</f>
        <v>0.75230826632242387</v>
      </c>
      <c r="L3">
        <f t="shared" ref="L3:L27" si="4">K3^$F$2</f>
        <v>5.5736307484323344</v>
      </c>
      <c r="M3" s="1">
        <f t="shared" ref="M3:M27" si="5">100*L3/$L$11</f>
        <v>49.511464201136242</v>
      </c>
      <c r="N3">
        <f t="shared" ref="N3:N27" si="6">100*$K$11^-$F$2</f>
        <v>8.8831618806219037</v>
      </c>
      <c r="O3">
        <f t="shared" ref="O3:O27" si="7">D3</f>
        <v>3140.7779885999998</v>
      </c>
      <c r="P3">
        <f t="shared" ref="P3:P27" si="8">B3</f>
        <v>2932.6984154999996</v>
      </c>
      <c r="Q3">
        <f t="shared" ref="Q3:Q27" si="9">(D3/B3)^$F$2</f>
        <v>0.66114086324865096</v>
      </c>
      <c r="R3" s="4">
        <f t="shared" ref="R3:R27" si="10">$F$3+$F$4*(N3*H3)*Q3</f>
        <v>10.514746670921308</v>
      </c>
      <c r="S3" s="6">
        <f>R3-R2</f>
        <v>0.14252176710241926</v>
      </c>
      <c r="T3">
        <f>H3-H2</f>
        <v>-0.58492306119319082</v>
      </c>
      <c r="U3">
        <f>100*($D$10/$J$11)^-$F$2</f>
        <v>4.9126418478794402</v>
      </c>
      <c r="V3">
        <f>(D2/B3)^$F$2</f>
        <v>0.78681170624898922</v>
      </c>
      <c r="W3">
        <f>100*($D$11/($B$10/$I$11))^-$F$2</f>
        <v>16.108143273836458</v>
      </c>
      <c r="X3">
        <f>(D3/B2)^$F$2</f>
        <v>0.50399481591070494</v>
      </c>
      <c r="Y3">
        <f>$F$3+$F$4*(N3*H3)*V3</f>
        <v>11.422539528942814</v>
      </c>
      <c r="Z3">
        <f>$F$3+$F$4*(N3*H3)*X3</f>
        <v>9.3795902891079663</v>
      </c>
      <c r="AA3">
        <f>0.5*((Y3-R2)+(R3-Z3))</f>
        <v>1.0927355034686332</v>
      </c>
      <c r="AB3">
        <f>0.5*((Z3-R2)+(R3-Y3))</f>
        <v>-0.95021373636621398</v>
      </c>
      <c r="AC3" s="6">
        <f>AA3+AB3</f>
        <v>0.14252176710241926</v>
      </c>
    </row>
    <row r="4" spans="1:29" x14ac:dyDescent="0.3">
      <c r="A4">
        <v>2002</v>
      </c>
      <c r="B4" s="2">
        <v>2790.5737838999994</v>
      </c>
      <c r="C4" s="2">
        <v>10.451116138763199</v>
      </c>
      <c r="D4" s="2">
        <v>2968.8909599999997</v>
      </c>
      <c r="E4" t="s">
        <v>14</v>
      </c>
      <c r="F4" s="2">
        <v>9.6458491087262496E-2</v>
      </c>
      <c r="G4">
        <v>2002</v>
      </c>
      <c r="H4">
        <f t="shared" si="0"/>
        <v>10.451116138763199</v>
      </c>
      <c r="I4">
        <f t="shared" si="1"/>
        <v>0.67790212636906022</v>
      </c>
      <c r="J4">
        <f t="shared" si="2"/>
        <v>4116.48477759866</v>
      </c>
      <c r="K4">
        <f t="shared" si="3"/>
        <v>0.72121995352838253</v>
      </c>
      <c r="L4">
        <f t="shared" si="4"/>
        <v>7.1907802124060494</v>
      </c>
      <c r="M4" s="1">
        <f t="shared" si="5"/>
        <v>63.876864674775689</v>
      </c>
      <c r="N4">
        <f t="shared" si="6"/>
        <v>8.8831618806219037</v>
      </c>
      <c r="O4">
        <f t="shared" si="7"/>
        <v>2968.8909599999997</v>
      </c>
      <c r="P4">
        <f t="shared" si="8"/>
        <v>2790.5737838999994</v>
      </c>
      <c r="Q4">
        <f t="shared" si="9"/>
        <v>0.68803945118698262</v>
      </c>
      <c r="R4" s="4">
        <f t="shared" si="10"/>
        <v>11.900411524472812</v>
      </c>
      <c r="S4" s="6">
        <f t="shared" ref="S4:S27" si="11">R4-R3</f>
        <v>1.3856648535515035</v>
      </c>
      <c r="T4">
        <f t="shared" ref="T4:T27" si="12">H4-H3</f>
        <v>2.0207935581180365</v>
      </c>
      <c r="U4">
        <f t="shared" ref="U4:U27" si="13">100*($D$10/$J$11)^-$F$2</f>
        <v>4.9126418478794402</v>
      </c>
      <c r="V4">
        <f t="shared" ref="V4:V27" si="14">(D3/B4)^$F$2</f>
        <v>0.48984975894566796</v>
      </c>
      <c r="W4">
        <f t="shared" ref="W4:W27" si="15">100*($D$11/($B$10/$I$11))^-$F$2</f>
        <v>16.108143273836458</v>
      </c>
      <c r="X4">
        <f t="shared" ref="X4:X27" si="16">(D4/B3)^$F$2</f>
        <v>0.92863370533442302</v>
      </c>
      <c r="Y4">
        <f t="shared" ref="Y4:Y27" si="17">$F$3+$F$4*(N4*H4)*V4</f>
        <v>10.125601890222594</v>
      </c>
      <c r="Z4">
        <f t="shared" ref="Z4:Z27" si="18">$F$3+$F$4*(N4*H4)*X4</f>
        <v>14.054958490952778</v>
      </c>
      <c r="AA4">
        <f t="shared" ref="AA4:AA27" si="19">0.5*((Y4-R3)+(R4-Z4))</f>
        <v>-1.2718458735893403</v>
      </c>
      <c r="AB4">
        <f t="shared" ref="AB4:AB27" si="20">0.5*((Z4-R3)+(R4-Y4))</f>
        <v>2.6575107271408438</v>
      </c>
      <c r="AC4" s="6">
        <f t="shared" ref="AC4:AC27" si="21">AA4+AB4</f>
        <v>1.3856648535515035</v>
      </c>
    </row>
    <row r="5" spans="1:29" x14ac:dyDescent="0.3">
      <c r="A5">
        <v>2003</v>
      </c>
      <c r="B5" s="2">
        <v>2525.3210135999998</v>
      </c>
      <c r="C5" s="2">
        <v>13.584963072378139</v>
      </c>
      <c r="D5" s="2">
        <v>2637.7199918999995</v>
      </c>
      <c r="G5">
        <v>2003</v>
      </c>
      <c r="H5">
        <f t="shared" si="0"/>
        <v>13.584963072378139</v>
      </c>
      <c r="I5">
        <f t="shared" si="1"/>
        <v>0.64908143223680093</v>
      </c>
      <c r="J5">
        <f t="shared" si="2"/>
        <v>3890.6073848045316</v>
      </c>
      <c r="K5">
        <f t="shared" si="3"/>
        <v>0.67797126027213395</v>
      </c>
      <c r="L5">
        <f t="shared" si="4"/>
        <v>10.444684567199767</v>
      </c>
      <c r="M5" s="1">
        <f t="shared" si="5"/>
        <v>92.78182380246885</v>
      </c>
      <c r="N5">
        <f t="shared" si="6"/>
        <v>8.8831618806219037</v>
      </c>
      <c r="O5">
        <f t="shared" si="7"/>
        <v>2637.7199918999995</v>
      </c>
      <c r="P5">
        <f t="shared" si="8"/>
        <v>2525.3210135999998</v>
      </c>
      <c r="Q5">
        <f t="shared" si="9"/>
        <v>0.76884158694818927</v>
      </c>
      <c r="R5" s="4">
        <f t="shared" si="10"/>
        <v>14.688540266869083</v>
      </c>
      <c r="S5" s="6">
        <f t="shared" si="11"/>
        <v>2.7881287423962711</v>
      </c>
      <c r="T5">
        <f t="shared" si="12"/>
        <v>3.1338469336149402</v>
      </c>
      <c r="U5">
        <f t="shared" si="13"/>
        <v>4.9126418478794402</v>
      </c>
      <c r="V5">
        <f t="shared" si="14"/>
        <v>0.37650261949268782</v>
      </c>
      <c r="W5">
        <f t="shared" si="15"/>
        <v>16.108143273836458</v>
      </c>
      <c r="X5">
        <f t="shared" si="16"/>
        <v>1.4050190254887052</v>
      </c>
      <c r="Y5">
        <f t="shared" si="17"/>
        <v>10.121572489776451</v>
      </c>
      <c r="Z5">
        <f t="shared" si="18"/>
        <v>22.093876222078247</v>
      </c>
      <c r="AA5">
        <f t="shared" si="19"/>
        <v>-4.5920874949527626</v>
      </c>
      <c r="AB5">
        <f t="shared" si="20"/>
        <v>7.3802162373490336</v>
      </c>
      <c r="AC5" s="6">
        <f t="shared" si="21"/>
        <v>2.7881287423962711</v>
      </c>
    </row>
    <row r="6" spans="1:29" x14ac:dyDescent="0.3">
      <c r="A6">
        <v>2004</v>
      </c>
      <c r="B6" s="2">
        <v>2986.0502678999997</v>
      </c>
      <c r="C6" s="2">
        <v>10.274600000000001</v>
      </c>
      <c r="D6" s="2">
        <v>3241.7864198999996</v>
      </c>
      <c r="G6">
        <v>2004</v>
      </c>
      <c r="H6">
        <f t="shared" si="0"/>
        <v>10.274600000000001</v>
      </c>
      <c r="I6">
        <f t="shared" si="1"/>
        <v>0.67981774520199256</v>
      </c>
      <c r="J6">
        <f t="shared" si="2"/>
        <v>4392.4276601705387</v>
      </c>
      <c r="K6">
        <f t="shared" si="3"/>
        <v>0.73803979728470592</v>
      </c>
      <c r="L6">
        <f t="shared" si="4"/>
        <v>6.2565966490313771</v>
      </c>
      <c r="M6" s="1">
        <f t="shared" si="5"/>
        <v>55.578360855102261</v>
      </c>
      <c r="N6">
        <f t="shared" si="6"/>
        <v>8.8831618806219037</v>
      </c>
      <c r="O6">
        <f t="shared" si="7"/>
        <v>3241.7864198999996</v>
      </c>
      <c r="P6">
        <f t="shared" si="8"/>
        <v>2986.0502678999997</v>
      </c>
      <c r="Q6">
        <f t="shared" si="9"/>
        <v>0.60893822134500353</v>
      </c>
      <c r="R6" s="4">
        <f t="shared" si="10"/>
        <v>11.099950367745228</v>
      </c>
      <c r="S6" s="6">
        <f t="shared" si="11"/>
        <v>-3.5885898991238552</v>
      </c>
      <c r="T6">
        <f t="shared" si="12"/>
        <v>-3.3103630723781379</v>
      </c>
      <c r="U6">
        <f t="shared" si="13"/>
        <v>4.9126418478794402</v>
      </c>
      <c r="V6">
        <f t="shared" si="14"/>
        <v>2.1143527995887066</v>
      </c>
      <c r="W6">
        <f t="shared" si="15"/>
        <v>16.108143273836458</v>
      </c>
      <c r="X6">
        <f t="shared" si="16"/>
        <v>0.22142805521546455</v>
      </c>
      <c r="Y6">
        <f t="shared" si="17"/>
        <v>24.35340455238272</v>
      </c>
      <c r="Z6">
        <f t="shared" si="18"/>
        <v>7.6883664046944231</v>
      </c>
      <c r="AA6">
        <f t="shared" si="19"/>
        <v>6.5382241242822214</v>
      </c>
      <c r="AB6">
        <f t="shared" si="20"/>
        <v>-10.126814023406077</v>
      </c>
      <c r="AC6" s="6">
        <f t="shared" si="21"/>
        <v>-3.5885898991238552</v>
      </c>
    </row>
    <row r="7" spans="1:29" x14ac:dyDescent="0.3">
      <c r="A7">
        <v>2005</v>
      </c>
      <c r="B7" s="2">
        <v>2878.1340209999994</v>
      </c>
      <c r="C7" s="2">
        <v>9.8911854951185507</v>
      </c>
      <c r="D7" s="2">
        <v>3327.4727282999997</v>
      </c>
      <c r="G7">
        <v>2005</v>
      </c>
      <c r="H7">
        <f t="shared" si="0"/>
        <v>9.8911854951185507</v>
      </c>
      <c r="I7">
        <f t="shared" si="1"/>
        <v>0.68411420586946703</v>
      </c>
      <c r="J7">
        <f t="shared" si="2"/>
        <v>4207.095827431428</v>
      </c>
      <c r="K7">
        <f t="shared" si="3"/>
        <v>0.79091916723264477</v>
      </c>
      <c r="L7">
        <f t="shared" si="4"/>
        <v>4.120281906378354</v>
      </c>
      <c r="M7" s="1">
        <f t="shared" si="5"/>
        <v>36.601131168156336</v>
      </c>
      <c r="N7">
        <f t="shared" si="6"/>
        <v>8.8831618806219037</v>
      </c>
      <c r="O7">
        <f t="shared" si="7"/>
        <v>3327.4727282999997</v>
      </c>
      <c r="P7">
        <f t="shared" si="8"/>
        <v>2878.1340209999994</v>
      </c>
      <c r="Q7">
        <f t="shared" si="9"/>
        <v>0.41656097829848376</v>
      </c>
      <c r="R7" s="4">
        <f t="shared" si="10"/>
        <v>9.2694354271260266</v>
      </c>
      <c r="S7" s="6">
        <f t="shared" si="11"/>
        <v>-1.8305149406192012</v>
      </c>
      <c r="T7">
        <f t="shared" si="12"/>
        <v>-0.38341450488145057</v>
      </c>
      <c r="U7">
        <f t="shared" si="13"/>
        <v>4.9126418478794402</v>
      </c>
      <c r="V7">
        <f t="shared" si="14"/>
        <v>0.48761035603777508</v>
      </c>
      <c r="W7">
        <f t="shared" si="15"/>
        <v>16.108143273836458</v>
      </c>
      <c r="X7">
        <f t="shared" si="16"/>
        <v>0.52021024177583741</v>
      </c>
      <c r="Y7">
        <f t="shared" si="17"/>
        <v>9.8716020305317684</v>
      </c>
      <c r="Z7">
        <f t="shared" si="18"/>
        <v>10.147896673650767</v>
      </c>
      <c r="AA7">
        <f t="shared" si="19"/>
        <v>-1.0534047918690996</v>
      </c>
      <c r="AB7">
        <f t="shared" si="20"/>
        <v>-0.77711014875010154</v>
      </c>
      <c r="AC7" s="6">
        <f t="shared" si="21"/>
        <v>-1.8305149406192012</v>
      </c>
    </row>
    <row r="8" spans="1:29" x14ac:dyDescent="0.3">
      <c r="A8">
        <v>2006</v>
      </c>
      <c r="B8" s="2">
        <v>3081.2899382999999</v>
      </c>
      <c r="C8" s="2">
        <v>10.976553133514985</v>
      </c>
      <c r="D8" s="2">
        <v>3655.1163011999997</v>
      </c>
      <c r="G8">
        <v>2006</v>
      </c>
      <c r="H8">
        <f t="shared" si="0"/>
        <v>10.976553133514985</v>
      </c>
      <c r="I8">
        <f t="shared" si="1"/>
        <v>0.67241581730591515</v>
      </c>
      <c r="J8">
        <f t="shared" si="2"/>
        <v>4582.4173956011646</v>
      </c>
      <c r="K8">
        <f t="shared" si="3"/>
        <v>0.7976393212693117</v>
      </c>
      <c r="L8">
        <f t="shared" si="4"/>
        <v>3.9151286327618871</v>
      </c>
      <c r="M8" s="1">
        <f t="shared" si="5"/>
        <v>34.778721428281742</v>
      </c>
      <c r="N8">
        <f t="shared" si="6"/>
        <v>8.8831618806219037</v>
      </c>
      <c r="O8">
        <f t="shared" si="7"/>
        <v>3655.1163011999997</v>
      </c>
      <c r="P8">
        <f t="shared" si="8"/>
        <v>3081.2899382999999</v>
      </c>
      <c r="Q8">
        <f t="shared" si="9"/>
        <v>0.35668106236444358</v>
      </c>
      <c r="R8" s="4">
        <f t="shared" si="10"/>
        <v>9.0936485334749904</v>
      </c>
      <c r="S8" s="6">
        <f t="shared" si="11"/>
        <v>-0.17578689365103628</v>
      </c>
      <c r="T8">
        <f t="shared" si="12"/>
        <v>1.0853676383964341</v>
      </c>
      <c r="U8">
        <f t="shared" si="13"/>
        <v>4.9126418478794402</v>
      </c>
      <c r="V8">
        <f t="shared" si="14"/>
        <v>0.62876662540368156</v>
      </c>
      <c r="W8">
        <f t="shared" si="15"/>
        <v>16.108143273836458</v>
      </c>
      <c r="X8">
        <f t="shared" si="16"/>
        <v>0.23630295609866983</v>
      </c>
      <c r="Y8">
        <f t="shared" si="17"/>
        <v>11.652702961714429</v>
      </c>
      <c r="Z8">
        <f t="shared" si="18"/>
        <v>7.9614527548328091</v>
      </c>
      <c r="AA8">
        <f t="shared" si="19"/>
        <v>1.7577316566152916</v>
      </c>
      <c r="AB8">
        <f t="shared" si="20"/>
        <v>-1.9335185502663279</v>
      </c>
      <c r="AC8" s="6">
        <f t="shared" si="21"/>
        <v>-0.17578689365103628</v>
      </c>
    </row>
    <row r="9" spans="1:29" x14ac:dyDescent="0.3">
      <c r="A9">
        <v>2007</v>
      </c>
      <c r="B9" s="2">
        <v>3055.7898104999995</v>
      </c>
      <c r="C9" s="2">
        <v>16.586238532110091</v>
      </c>
      <c r="D9" s="2">
        <v>3260.8196564999994</v>
      </c>
      <c r="G9">
        <v>2007</v>
      </c>
      <c r="H9">
        <f t="shared" si="0"/>
        <v>16.586238532110091</v>
      </c>
      <c r="I9">
        <f t="shared" si="1"/>
        <v>0.62796919315028421</v>
      </c>
      <c r="J9">
        <f t="shared" si="2"/>
        <v>4866.1460527550025</v>
      </c>
      <c r="K9">
        <f t="shared" si="3"/>
        <v>0.67010312085759605</v>
      </c>
      <c r="L9">
        <f t="shared" si="4"/>
        <v>11.207230385474901</v>
      </c>
      <c r="M9" s="1">
        <f t="shared" si="5"/>
        <v>99.555641747598145</v>
      </c>
      <c r="N9">
        <f t="shared" si="6"/>
        <v>8.8831618806219037</v>
      </c>
      <c r="O9">
        <f t="shared" si="7"/>
        <v>3260.8196564999994</v>
      </c>
      <c r="P9">
        <f t="shared" si="8"/>
        <v>3055.7898104999995</v>
      </c>
      <c r="Q9">
        <f t="shared" si="9"/>
        <v>0.67569451408637893</v>
      </c>
      <c r="R9" s="4">
        <f t="shared" si="10"/>
        <v>15.341932524756086</v>
      </c>
      <c r="S9" s="6">
        <f t="shared" si="11"/>
        <v>6.2482839912810952</v>
      </c>
      <c r="T9">
        <f t="shared" si="12"/>
        <v>5.6096853985951061</v>
      </c>
      <c r="U9">
        <f t="shared" si="13"/>
        <v>4.9126418478794402</v>
      </c>
      <c r="V9">
        <f t="shared" si="14"/>
        <v>0.33922960567844007</v>
      </c>
      <c r="W9">
        <f t="shared" si="15"/>
        <v>16.108143273836458</v>
      </c>
      <c r="X9">
        <f t="shared" si="16"/>
        <v>0.7104551993218714</v>
      </c>
      <c r="Y9">
        <f t="shared" si="17"/>
        <v>10.560085006315784</v>
      </c>
      <c r="Z9">
        <f t="shared" si="18"/>
        <v>15.835952234624596</v>
      </c>
      <c r="AA9">
        <f t="shared" si="19"/>
        <v>0.48620838148614176</v>
      </c>
      <c r="AB9">
        <f t="shared" si="20"/>
        <v>5.7620756097949535</v>
      </c>
      <c r="AC9" s="6">
        <f t="shared" si="21"/>
        <v>6.2482839912810952</v>
      </c>
    </row>
    <row r="10" spans="1:29" x14ac:dyDescent="0.3">
      <c r="A10">
        <v>2008</v>
      </c>
      <c r="B10" s="2">
        <v>3047.1182972999995</v>
      </c>
      <c r="C10" s="2">
        <v>15.537823383084577</v>
      </c>
      <c r="D10" s="2">
        <v>3185.3113529999996</v>
      </c>
      <c r="G10">
        <v>2008</v>
      </c>
      <c r="H10">
        <f t="shared" si="0"/>
        <v>15.537823383084577</v>
      </c>
      <c r="I10">
        <f t="shared" si="1"/>
        <v>0.63479871404836163</v>
      </c>
      <c r="J10">
        <f t="shared" si="2"/>
        <v>4800.1330655938555</v>
      </c>
      <c r="K10">
        <f t="shared" si="3"/>
        <v>0.66358813588554633</v>
      </c>
      <c r="L10">
        <f t="shared" si="4"/>
        <v>11.888071088537231</v>
      </c>
      <c r="M10" s="1">
        <f t="shared" si="5"/>
        <v>105.60365992781726</v>
      </c>
      <c r="N10">
        <f t="shared" si="6"/>
        <v>8.8831618806219037</v>
      </c>
      <c r="O10">
        <f t="shared" si="7"/>
        <v>3185.3113529999996</v>
      </c>
      <c r="P10">
        <f t="shared" si="8"/>
        <v>3047.1182972999995</v>
      </c>
      <c r="Q10">
        <f t="shared" si="9"/>
        <v>0.76510530435551971</v>
      </c>
      <c r="R10" s="4">
        <f t="shared" si="10"/>
        <v>15.925315232488355</v>
      </c>
      <c r="S10" s="6">
        <f t="shared" si="11"/>
        <v>0.58338270773226952</v>
      </c>
      <c r="T10">
        <f t="shared" si="12"/>
        <v>-1.048415149025514</v>
      </c>
      <c r="U10">
        <f t="shared" si="13"/>
        <v>4.9126418478794402</v>
      </c>
      <c r="V10">
        <f t="shared" si="14"/>
        <v>0.66420226038317476</v>
      </c>
      <c r="W10">
        <f t="shared" si="15"/>
        <v>16.108143273836458</v>
      </c>
      <c r="X10">
        <f t="shared" si="16"/>
        <v>0.77834341688806197</v>
      </c>
      <c r="Y10">
        <f t="shared" si="17"/>
        <v>14.5819240641219</v>
      </c>
      <c r="Z10">
        <f t="shared" si="18"/>
        <v>16.101563269831338</v>
      </c>
      <c r="AA10">
        <f t="shared" si="19"/>
        <v>-0.46812824898858452</v>
      </c>
      <c r="AB10">
        <f t="shared" si="20"/>
        <v>1.051510956720854</v>
      </c>
      <c r="AC10" s="6">
        <f t="shared" si="21"/>
        <v>0.58338270773226952</v>
      </c>
    </row>
    <row r="11" spans="1:29" x14ac:dyDescent="0.3">
      <c r="A11" s="3">
        <v>2009</v>
      </c>
      <c r="B11" s="2">
        <v>3362.8569113999997</v>
      </c>
      <c r="C11" s="2">
        <v>14.671880341880343</v>
      </c>
      <c r="D11" s="2">
        <v>3513.7265435999998</v>
      </c>
      <c r="G11" s="3">
        <v>2009</v>
      </c>
      <c r="H11">
        <f t="shared" si="0"/>
        <v>14.671880341880343</v>
      </c>
      <c r="I11">
        <f t="shared" si="1"/>
        <v>0.6408577867988976</v>
      </c>
      <c r="J11">
        <f>B11/I11</f>
        <v>5247.4308351585505</v>
      </c>
      <c r="K11">
        <f t="shared" si="3"/>
        <v>0.6696089293940799</v>
      </c>
      <c r="L11">
        <f t="shared" si="4"/>
        <v>11.257252917808932</v>
      </c>
      <c r="M11" s="1">
        <f t="shared" si="5"/>
        <v>100</v>
      </c>
      <c r="N11">
        <f t="shared" si="6"/>
        <v>8.8831618806219037</v>
      </c>
      <c r="O11">
        <f t="shared" si="7"/>
        <v>3513.7265435999998</v>
      </c>
      <c r="P11">
        <f t="shared" si="8"/>
        <v>3362.8569113999997</v>
      </c>
      <c r="Q11">
        <f t="shared" si="9"/>
        <v>0.76726722516101131</v>
      </c>
      <c r="R11" s="4">
        <f t="shared" si="10"/>
        <v>15.384794651284931</v>
      </c>
      <c r="S11" s="6">
        <f t="shared" si="11"/>
        <v>-0.54052058120342394</v>
      </c>
      <c r="T11">
        <f t="shared" si="12"/>
        <v>-0.86594304120423438</v>
      </c>
      <c r="U11">
        <f t="shared" si="13"/>
        <v>4.9126418478794402</v>
      </c>
      <c r="V11">
        <f t="shared" si="14"/>
        <v>1.3873917899679362</v>
      </c>
      <c r="W11">
        <f t="shared" si="15"/>
        <v>16.108143273836458</v>
      </c>
      <c r="X11">
        <f t="shared" si="16"/>
        <v>0.42312505239950893</v>
      </c>
      <c r="Y11">
        <f t="shared" si="17"/>
        <v>23.180811194917272</v>
      </c>
      <c r="Z11">
        <f t="shared" si="18"/>
        <v>11.058344411330992</v>
      </c>
      <c r="AA11">
        <f t="shared" si="19"/>
        <v>5.7909731011914278</v>
      </c>
      <c r="AB11">
        <f t="shared" si="20"/>
        <v>-6.3314936823948518</v>
      </c>
      <c r="AC11" s="6">
        <f t="shared" si="21"/>
        <v>-0.54052058120342394</v>
      </c>
    </row>
    <row r="12" spans="1:29" x14ac:dyDescent="0.3">
      <c r="A12">
        <v>2010</v>
      </c>
      <c r="B12" s="2">
        <v>3281.5798469999995</v>
      </c>
      <c r="C12" s="2">
        <v>17.162303030303033</v>
      </c>
      <c r="D12" s="2">
        <v>3496.6039793999998</v>
      </c>
      <c r="G12">
        <v>2010</v>
      </c>
      <c r="H12">
        <f t="shared" si="0"/>
        <v>17.162303030303033</v>
      </c>
      <c r="I12">
        <f t="shared" si="1"/>
        <v>0.62442748416912197</v>
      </c>
      <c r="J12">
        <f t="shared" si="2"/>
        <v>5255.3417813864289</v>
      </c>
      <c r="K12">
        <f t="shared" si="3"/>
        <v>0.66534283113315407</v>
      </c>
      <c r="L12">
        <f t="shared" si="4"/>
        <v>11.700065770097561</v>
      </c>
      <c r="M12" s="1">
        <f t="shared" si="5"/>
        <v>103.93357824969979</v>
      </c>
      <c r="N12">
        <f t="shared" si="6"/>
        <v>8.8831618806219037</v>
      </c>
      <c r="O12">
        <f t="shared" si="7"/>
        <v>3496.6039793999998</v>
      </c>
      <c r="P12">
        <f t="shared" si="8"/>
        <v>3281.5798469999995</v>
      </c>
      <c r="Q12">
        <f t="shared" si="9"/>
        <v>0.68173052004961399</v>
      </c>
      <c r="R12" s="4">
        <f t="shared" si="10"/>
        <v>15.76422167382465</v>
      </c>
      <c r="S12" s="6">
        <f t="shared" si="11"/>
        <v>0.37942702253971916</v>
      </c>
      <c r="T12">
        <f t="shared" si="12"/>
        <v>2.4904226884226901</v>
      </c>
      <c r="U12">
        <f t="shared" si="13"/>
        <v>4.9126418478794402</v>
      </c>
      <c r="V12">
        <f t="shared" si="14"/>
        <v>0.66192106471538881</v>
      </c>
      <c r="W12">
        <f t="shared" si="15"/>
        <v>16.108143273836458</v>
      </c>
      <c r="X12">
        <f t="shared" si="16"/>
        <v>0.79022939789799429</v>
      </c>
      <c r="Y12">
        <f t="shared" si="17"/>
        <v>15.47291117224826</v>
      </c>
      <c r="Z12">
        <f t="shared" si="18"/>
        <v>17.359765922427965</v>
      </c>
      <c r="AA12">
        <f t="shared" si="19"/>
        <v>-0.75371386381999272</v>
      </c>
      <c r="AB12">
        <f t="shared" si="20"/>
        <v>1.1331408863597119</v>
      </c>
      <c r="AC12" s="6">
        <f t="shared" si="21"/>
        <v>0.37942702253971916</v>
      </c>
    </row>
    <row r="13" spans="1:29" x14ac:dyDescent="0.3">
      <c r="A13">
        <v>2011</v>
      </c>
      <c r="B13" s="2">
        <v>3158.9293763999995</v>
      </c>
      <c r="C13" s="2">
        <v>18.3187134502924</v>
      </c>
      <c r="D13" s="2">
        <v>3328.3178333999995</v>
      </c>
      <c r="G13">
        <v>2011</v>
      </c>
      <c r="H13">
        <f t="shared" si="0"/>
        <v>18.3187134502924</v>
      </c>
      <c r="I13">
        <f t="shared" si="1"/>
        <v>0.61771857253080342</v>
      </c>
      <c r="J13">
        <f t="shared" si="2"/>
        <v>5113.8649813584407</v>
      </c>
      <c r="K13">
        <f t="shared" si="3"/>
        <v>0.6508419454820783</v>
      </c>
      <c r="L13">
        <f t="shared" si="4"/>
        <v>13.364644685325501</v>
      </c>
      <c r="M13" s="1">
        <f t="shared" si="5"/>
        <v>118.72030221673961</v>
      </c>
      <c r="N13">
        <f t="shared" si="6"/>
        <v>8.8831618806219037</v>
      </c>
      <c r="O13">
        <f t="shared" si="7"/>
        <v>3328.3178333999995</v>
      </c>
      <c r="P13">
        <f t="shared" si="8"/>
        <v>3158.9293763999995</v>
      </c>
      <c r="Q13">
        <f t="shared" si="9"/>
        <v>0.7295624074032443</v>
      </c>
      <c r="R13" s="4">
        <f t="shared" si="10"/>
        <v>17.190526755809188</v>
      </c>
      <c r="S13" s="6">
        <f t="shared" si="11"/>
        <v>1.4263050819845375</v>
      </c>
      <c r="T13">
        <f t="shared" si="12"/>
        <v>1.156410419989367</v>
      </c>
      <c r="U13">
        <f t="shared" si="13"/>
        <v>4.9126418478794402</v>
      </c>
      <c r="V13">
        <f t="shared" si="14"/>
        <v>0.54168940258006126</v>
      </c>
      <c r="W13">
        <f t="shared" si="15"/>
        <v>16.108143273836458</v>
      </c>
      <c r="X13">
        <f t="shared" si="16"/>
        <v>0.91817369333554855</v>
      </c>
      <c r="Y13">
        <f t="shared" si="17"/>
        <v>14.241576877528335</v>
      </c>
      <c r="Z13">
        <f t="shared" si="18"/>
        <v>20.151065068463193</v>
      </c>
      <c r="AA13">
        <f t="shared" si="19"/>
        <v>-2.2415915544751606</v>
      </c>
      <c r="AB13">
        <f t="shared" si="20"/>
        <v>3.6678966364596981</v>
      </c>
      <c r="AC13" s="6">
        <f t="shared" si="21"/>
        <v>1.4263050819845375</v>
      </c>
    </row>
    <row r="14" spans="1:29" x14ac:dyDescent="0.3">
      <c r="A14">
        <v>2012</v>
      </c>
      <c r="B14" s="2">
        <v>3111.4197722999997</v>
      </c>
      <c r="C14" s="2">
        <v>20.597260273972605</v>
      </c>
      <c r="D14" s="2">
        <v>3251.9644247999995</v>
      </c>
      <c r="G14">
        <v>2012</v>
      </c>
      <c r="H14">
        <f t="shared" si="0"/>
        <v>20.597260273972605</v>
      </c>
      <c r="I14">
        <f t="shared" si="1"/>
        <v>0.605837622240742</v>
      </c>
      <c r="J14">
        <f t="shared" si="2"/>
        <v>5135.7321798407784</v>
      </c>
      <c r="K14">
        <f t="shared" si="3"/>
        <v>0.63320366228692615</v>
      </c>
      <c r="L14">
        <f t="shared" si="4"/>
        <v>15.77559678038596</v>
      </c>
      <c r="M14" s="1">
        <f t="shared" si="5"/>
        <v>140.13717996358619</v>
      </c>
      <c r="N14">
        <f t="shared" si="6"/>
        <v>8.8831618806219037</v>
      </c>
      <c r="O14">
        <f t="shared" si="7"/>
        <v>3251.9644247999995</v>
      </c>
      <c r="P14">
        <f t="shared" si="8"/>
        <v>3111.4197722999997</v>
      </c>
      <c r="Q14">
        <f t="shared" si="9"/>
        <v>0.76590753190221783</v>
      </c>
      <c r="R14" s="4">
        <f t="shared" si="10"/>
        <v>19.256366467070364</v>
      </c>
      <c r="S14" s="6">
        <f t="shared" si="11"/>
        <v>2.0658397112611766</v>
      </c>
      <c r="T14">
        <f t="shared" si="12"/>
        <v>2.2785468236802053</v>
      </c>
      <c r="U14">
        <f t="shared" si="13"/>
        <v>4.9126418478794402</v>
      </c>
      <c r="V14">
        <f t="shared" si="14"/>
        <v>0.6657854290994436</v>
      </c>
      <c r="W14">
        <f t="shared" si="15"/>
        <v>16.108143273836458</v>
      </c>
      <c r="X14">
        <f t="shared" si="16"/>
        <v>0.83927541577272735</v>
      </c>
      <c r="Y14">
        <f t="shared" si="17"/>
        <v>17.489322077167284</v>
      </c>
      <c r="Z14">
        <f t="shared" si="18"/>
        <v>20.55122848018474</v>
      </c>
      <c r="AA14">
        <f t="shared" si="19"/>
        <v>-0.49803334587813985</v>
      </c>
      <c r="AB14">
        <f t="shared" si="20"/>
        <v>2.5638730571393165</v>
      </c>
      <c r="AC14" s="6">
        <f t="shared" si="21"/>
        <v>2.0658397112611766</v>
      </c>
    </row>
    <row r="15" spans="1:29" x14ac:dyDescent="0.3">
      <c r="A15">
        <v>2013</v>
      </c>
      <c r="B15" s="2">
        <v>3477.3135368999997</v>
      </c>
      <c r="C15" s="2">
        <v>18.322834645669289</v>
      </c>
      <c r="D15" s="2">
        <v>3569.3197616999996</v>
      </c>
      <c r="G15">
        <v>2013</v>
      </c>
      <c r="H15">
        <f t="shared" si="0"/>
        <v>18.322834645669289</v>
      </c>
      <c r="I15">
        <f t="shared" si="1"/>
        <v>0.61769555409583488</v>
      </c>
      <c r="J15">
        <f t="shared" si="2"/>
        <v>5629.4941963601987</v>
      </c>
      <c r="K15">
        <f t="shared" si="3"/>
        <v>0.63403915826181612</v>
      </c>
      <c r="L15">
        <f t="shared" si="4"/>
        <v>15.650525025334103</v>
      </c>
      <c r="M15" s="1">
        <f t="shared" si="5"/>
        <v>139.02614731676704</v>
      </c>
      <c r="N15">
        <f t="shared" si="6"/>
        <v>8.8831618806219037</v>
      </c>
      <c r="O15">
        <f t="shared" si="7"/>
        <v>3569.3197616999996</v>
      </c>
      <c r="P15">
        <f t="shared" si="8"/>
        <v>3477.3135368999997</v>
      </c>
      <c r="Q15">
        <f t="shared" si="9"/>
        <v>0.85415413760955317</v>
      </c>
      <c r="R15" s="4">
        <f t="shared" si="10"/>
        <v>19.1491979344095</v>
      </c>
      <c r="S15" s="6">
        <f t="shared" si="11"/>
        <v>-0.10716853266086446</v>
      </c>
      <c r="T15">
        <f t="shared" si="12"/>
        <v>-2.274425628303316</v>
      </c>
      <c r="U15">
        <f t="shared" si="13"/>
        <v>4.9126418478794402</v>
      </c>
      <c r="V15">
        <f t="shared" si="14"/>
        <v>1.4984796804314915</v>
      </c>
      <c r="W15">
        <f t="shared" si="15"/>
        <v>16.108143273836458</v>
      </c>
      <c r="X15">
        <f t="shared" si="16"/>
        <v>0.43657788353340971</v>
      </c>
      <c r="Y15">
        <f t="shared" si="17"/>
        <v>29.26513342111226</v>
      </c>
      <c r="Z15">
        <f t="shared" si="18"/>
        <v>12.593234890460096</v>
      </c>
      <c r="AA15">
        <f t="shared" si="19"/>
        <v>8.28236499899565</v>
      </c>
      <c r="AB15">
        <f t="shared" si="20"/>
        <v>-8.3895335316565145</v>
      </c>
      <c r="AC15" s="6">
        <f t="shared" si="21"/>
        <v>-0.10716853266086446</v>
      </c>
    </row>
    <row r="16" spans="1:29" x14ac:dyDescent="0.3">
      <c r="A16">
        <v>2014</v>
      </c>
      <c r="B16" s="2">
        <v>3862.6814624999997</v>
      </c>
      <c r="C16" s="2">
        <v>13.922222222222222</v>
      </c>
      <c r="D16" s="2">
        <v>4053.3077780999993</v>
      </c>
      <c r="G16">
        <v>2014</v>
      </c>
      <c r="H16">
        <f t="shared" si="0"/>
        <v>13.922222222222222</v>
      </c>
      <c r="I16">
        <f t="shared" si="1"/>
        <v>0.64644994947555356</v>
      </c>
      <c r="J16">
        <f t="shared" si="2"/>
        <v>5975.2212304041223</v>
      </c>
      <c r="K16">
        <f t="shared" si="3"/>
        <v>0.67835275411649687</v>
      </c>
      <c r="L16">
        <f t="shared" si="4"/>
        <v>10.409276811129391</v>
      </c>
      <c r="M16" s="1">
        <f t="shared" si="5"/>
        <v>92.467290973466135</v>
      </c>
      <c r="N16">
        <f t="shared" si="6"/>
        <v>8.8831618806219037</v>
      </c>
      <c r="O16">
        <f t="shared" si="7"/>
        <v>4053.3077780999993</v>
      </c>
      <c r="P16">
        <f t="shared" si="8"/>
        <v>3862.6814624999997</v>
      </c>
      <c r="Q16">
        <f t="shared" si="9"/>
        <v>0.74767351396779413</v>
      </c>
      <c r="R16" s="4">
        <f t="shared" si="10"/>
        <v>14.658200904786089</v>
      </c>
      <c r="S16" s="6">
        <f t="shared" si="11"/>
        <v>-4.4909970296234114</v>
      </c>
      <c r="T16">
        <f t="shared" si="12"/>
        <v>-4.4006124234470665</v>
      </c>
      <c r="U16">
        <f t="shared" si="13"/>
        <v>4.9126418478794402</v>
      </c>
      <c r="V16">
        <f t="shared" si="14"/>
        <v>1.6109170020354178</v>
      </c>
      <c r="W16">
        <f t="shared" si="15"/>
        <v>16.108143273836458</v>
      </c>
      <c r="X16">
        <f t="shared" si="16"/>
        <v>0.39643782065106314</v>
      </c>
      <c r="Y16">
        <f t="shared" si="17"/>
        <v>24.956130370008108</v>
      </c>
      <c r="Z16">
        <f t="shared" si="18"/>
        <v>10.468189111542529</v>
      </c>
      <c r="AA16">
        <f t="shared" si="19"/>
        <v>4.9984721144210837</v>
      </c>
      <c r="AB16">
        <f t="shared" si="20"/>
        <v>-9.4894691440444952</v>
      </c>
      <c r="AC16" s="6">
        <f t="shared" si="21"/>
        <v>-4.4909970296234114</v>
      </c>
    </row>
    <row r="17" spans="1:29" x14ac:dyDescent="0.3">
      <c r="A17">
        <v>2015</v>
      </c>
      <c r="B17" s="2">
        <v>3944.2157327999998</v>
      </c>
      <c r="C17" s="2">
        <v>12.110529157667388</v>
      </c>
      <c r="D17" s="2">
        <v>4140.9415025999997</v>
      </c>
      <c r="G17">
        <v>2015</v>
      </c>
      <c r="H17">
        <f t="shared" si="0"/>
        <v>12.110529157667388</v>
      </c>
      <c r="I17">
        <f t="shared" si="1"/>
        <v>0.66155320159704767</v>
      </c>
      <c r="J17">
        <f t="shared" si="2"/>
        <v>5962.0537294329706</v>
      </c>
      <c r="K17">
        <f t="shared" si="3"/>
        <v>0.69454951104471674</v>
      </c>
      <c r="L17">
        <f t="shared" si="4"/>
        <v>9.0273582844634568</v>
      </c>
      <c r="M17" s="1">
        <f t="shared" si="5"/>
        <v>80.191484995262115</v>
      </c>
      <c r="N17">
        <f t="shared" si="6"/>
        <v>8.8831618806219037</v>
      </c>
      <c r="O17">
        <f t="shared" si="7"/>
        <v>4140.9415025999997</v>
      </c>
      <c r="P17">
        <f t="shared" si="8"/>
        <v>3944.2157327999998</v>
      </c>
      <c r="Q17">
        <f t="shared" si="9"/>
        <v>0.74541402501376919</v>
      </c>
      <c r="R17" s="4">
        <f t="shared" si="10"/>
        <v>13.474095183248528</v>
      </c>
      <c r="S17" s="6">
        <f t="shared" si="11"/>
        <v>-1.184105721537561</v>
      </c>
      <c r="T17">
        <f t="shared" si="12"/>
        <v>-1.8116930645548344</v>
      </c>
      <c r="U17">
        <f t="shared" si="13"/>
        <v>4.9126418478794402</v>
      </c>
      <c r="V17">
        <f t="shared" si="14"/>
        <v>0.84815227378685765</v>
      </c>
      <c r="W17">
        <f t="shared" si="15"/>
        <v>16.108143273836458</v>
      </c>
      <c r="X17">
        <f t="shared" si="16"/>
        <v>0.65710644263742146</v>
      </c>
      <c r="Y17">
        <f t="shared" si="17"/>
        <v>14.540208378620157</v>
      </c>
      <c r="Z17">
        <f t="shared" si="18"/>
        <v>12.557728786632932</v>
      </c>
      <c r="AA17">
        <f t="shared" si="19"/>
        <v>0.39918693522483206</v>
      </c>
      <c r="AB17">
        <f t="shared" si="20"/>
        <v>-1.5832926567623931</v>
      </c>
      <c r="AC17" s="6">
        <f t="shared" si="21"/>
        <v>-1.184105721537561</v>
      </c>
    </row>
    <row r="18" spans="1:29" x14ac:dyDescent="0.3">
      <c r="A18">
        <v>2016</v>
      </c>
      <c r="B18" s="2">
        <v>4213.8777470999994</v>
      </c>
      <c r="C18" s="2">
        <v>12.772777179763187</v>
      </c>
      <c r="D18" s="2">
        <v>4515.4700366999996</v>
      </c>
      <c r="G18">
        <v>2016</v>
      </c>
      <c r="H18">
        <f t="shared" si="0"/>
        <v>12.772777179763187</v>
      </c>
      <c r="I18">
        <f t="shared" si="1"/>
        <v>0.65574408659295658</v>
      </c>
      <c r="J18">
        <f t="shared" si="2"/>
        <v>6426.1010251636499</v>
      </c>
      <c r="K18">
        <f t="shared" si="3"/>
        <v>0.70267647816585743</v>
      </c>
      <c r="L18">
        <f t="shared" si="4"/>
        <v>8.4151714857819435</v>
      </c>
      <c r="M18" s="1">
        <f t="shared" si="5"/>
        <v>74.753330561394549</v>
      </c>
      <c r="N18">
        <f t="shared" si="6"/>
        <v>8.8831618806219037</v>
      </c>
      <c r="O18">
        <f t="shared" si="7"/>
        <v>4515.4700366999996</v>
      </c>
      <c r="P18">
        <f t="shared" si="8"/>
        <v>4213.8777470999994</v>
      </c>
      <c r="Q18">
        <f t="shared" si="9"/>
        <v>0.65883647442896742</v>
      </c>
      <c r="R18" s="4">
        <f t="shared" si="10"/>
        <v>12.949539012258157</v>
      </c>
      <c r="S18" s="6">
        <f t="shared" si="11"/>
        <v>-0.52455617099037077</v>
      </c>
      <c r="T18">
        <f t="shared" si="12"/>
        <v>0.66224802209579892</v>
      </c>
      <c r="U18">
        <f t="shared" si="13"/>
        <v>4.9126418478794402</v>
      </c>
      <c r="V18">
        <f t="shared" si="14"/>
        <v>1.1111530739065039</v>
      </c>
      <c r="W18">
        <f t="shared" si="15"/>
        <v>16.108143273836458</v>
      </c>
      <c r="X18">
        <f t="shared" si="16"/>
        <v>0.44197866141285652</v>
      </c>
      <c r="Y18">
        <f t="shared" si="17"/>
        <v>17.899888977712337</v>
      </c>
      <c r="Z18">
        <f t="shared" si="18"/>
        <v>10.576152608989336</v>
      </c>
      <c r="AA18">
        <f t="shared" si="19"/>
        <v>3.399590098866315</v>
      </c>
      <c r="AB18">
        <f t="shared" si="20"/>
        <v>-3.9241462698566858</v>
      </c>
      <c r="AC18" s="6">
        <f t="shared" si="21"/>
        <v>-0.52455617099037077</v>
      </c>
    </row>
    <row r="19" spans="1:29" x14ac:dyDescent="0.3">
      <c r="A19">
        <v>2017</v>
      </c>
      <c r="B19" s="2">
        <v>4296.9552527999995</v>
      </c>
      <c r="C19" s="2">
        <v>12.476510138740661</v>
      </c>
      <c r="D19" s="2">
        <v>4735.0503878999998</v>
      </c>
      <c r="G19">
        <v>2017</v>
      </c>
      <c r="H19">
        <f t="shared" si="0"/>
        <v>12.476510138740661</v>
      </c>
      <c r="I19">
        <f t="shared" si="1"/>
        <v>0.6582984156947107</v>
      </c>
      <c r="J19">
        <f t="shared" si="2"/>
        <v>6527.3668451189687</v>
      </c>
      <c r="K19">
        <f t="shared" si="3"/>
        <v>0.7254150870102809</v>
      </c>
      <c r="L19">
        <f t="shared" si="4"/>
        <v>6.9433801311205023</v>
      </c>
      <c r="M19" s="1">
        <f t="shared" si="5"/>
        <v>61.679169703437161</v>
      </c>
      <c r="N19">
        <f t="shared" si="6"/>
        <v>8.8831618806219037</v>
      </c>
      <c r="O19">
        <f t="shared" si="7"/>
        <v>4735.0503878999998</v>
      </c>
      <c r="P19">
        <f t="shared" si="8"/>
        <v>4296.9552527999995</v>
      </c>
      <c r="Q19">
        <f t="shared" si="9"/>
        <v>0.55651620957375703</v>
      </c>
      <c r="R19" s="4">
        <f t="shared" si="10"/>
        <v>11.688425183667434</v>
      </c>
      <c r="S19" s="6">
        <f t="shared" si="11"/>
        <v>-1.2611138285907231</v>
      </c>
      <c r="T19">
        <f t="shared" si="12"/>
        <v>-0.2962670410225261</v>
      </c>
      <c r="U19">
        <f t="shared" si="13"/>
        <v>4.9126418478794402</v>
      </c>
      <c r="V19">
        <f t="shared" si="14"/>
        <v>0.74124303131030922</v>
      </c>
      <c r="W19">
        <f t="shared" si="15"/>
        <v>16.108143273836458</v>
      </c>
      <c r="X19">
        <f t="shared" si="16"/>
        <v>0.49464637371363429</v>
      </c>
      <c r="Y19">
        <f t="shared" si="17"/>
        <v>13.663261578693739</v>
      </c>
      <c r="Z19">
        <f t="shared" si="18"/>
        <v>11.027000911532634</v>
      </c>
      <c r="AA19">
        <f t="shared" si="19"/>
        <v>0.687573419285191</v>
      </c>
      <c r="AB19">
        <f t="shared" si="20"/>
        <v>-1.9486872478759141</v>
      </c>
      <c r="AC19" s="6">
        <f t="shared" si="21"/>
        <v>-1.2611138285907231</v>
      </c>
    </row>
    <row r="20" spans="1:29" x14ac:dyDescent="0.3">
      <c r="A20">
        <v>2018</v>
      </c>
      <c r="B20" s="2">
        <v>3955.2755864999995</v>
      </c>
      <c r="C20" s="2">
        <v>11.184673684210527</v>
      </c>
      <c r="D20" s="2">
        <v>4880.3349776999994</v>
      </c>
      <c r="G20">
        <v>2018</v>
      </c>
      <c r="H20">
        <f t="shared" si="0"/>
        <v>11.184673684210527</v>
      </c>
      <c r="I20">
        <f t="shared" si="1"/>
        <v>0.67032680884401552</v>
      </c>
      <c r="J20">
        <f t="shared" si="2"/>
        <v>5900.5182760345015</v>
      </c>
      <c r="K20">
        <f t="shared" si="3"/>
        <v>0.82710276443374975</v>
      </c>
      <c r="L20">
        <f t="shared" si="4"/>
        <v>3.1452367526015541</v>
      </c>
      <c r="M20" s="1">
        <f t="shared" si="5"/>
        <v>27.939647226241149</v>
      </c>
      <c r="N20">
        <f t="shared" si="6"/>
        <v>8.8831618806219037</v>
      </c>
      <c r="O20">
        <f t="shared" si="7"/>
        <v>4880.3349776999994</v>
      </c>
      <c r="P20">
        <f t="shared" si="8"/>
        <v>3955.2755864999995</v>
      </c>
      <c r="Q20">
        <f t="shared" si="9"/>
        <v>0.28120952308530045</v>
      </c>
      <c r="R20" s="4">
        <f t="shared" si="10"/>
        <v>8.4339617555123283</v>
      </c>
      <c r="S20" s="6">
        <f t="shared" si="11"/>
        <v>-3.2544634281551055</v>
      </c>
      <c r="T20">
        <f t="shared" si="12"/>
        <v>-1.2918364545301344</v>
      </c>
      <c r="U20">
        <f t="shared" si="13"/>
        <v>4.9126418478794402</v>
      </c>
      <c r="V20">
        <f t="shared" si="14"/>
        <v>0.33748884762052872</v>
      </c>
      <c r="W20">
        <f t="shared" si="15"/>
        <v>16.108143273836458</v>
      </c>
      <c r="X20">
        <f t="shared" si="16"/>
        <v>0.46371208704188294</v>
      </c>
      <c r="Y20">
        <f t="shared" si="17"/>
        <v>8.9733236178433984</v>
      </c>
      <c r="Z20">
        <f t="shared" si="18"/>
        <v>10.183004118559914</v>
      </c>
      <c r="AA20">
        <f t="shared" si="19"/>
        <v>-2.2320719644358107</v>
      </c>
      <c r="AB20">
        <f t="shared" si="20"/>
        <v>-1.0223914637192948</v>
      </c>
      <c r="AC20" s="6">
        <f t="shared" si="21"/>
        <v>-3.2544634281551055</v>
      </c>
    </row>
    <row r="21" spans="1:29" x14ac:dyDescent="0.3">
      <c r="A21">
        <v>2019</v>
      </c>
      <c r="B21" s="2">
        <v>3952.9607333999998</v>
      </c>
      <c r="C21" s="2">
        <v>11.093192148760332</v>
      </c>
      <c r="D21" s="2">
        <v>4491.5131442999991</v>
      </c>
      <c r="G21">
        <v>2019</v>
      </c>
      <c r="H21">
        <f t="shared" si="0"/>
        <v>11.093192148760332</v>
      </c>
      <c r="I21">
        <f t="shared" si="1"/>
        <v>0.67123942508257217</v>
      </c>
      <c r="J21">
        <f t="shared" si="2"/>
        <v>5889.0473140991808</v>
      </c>
      <c r="K21">
        <f t="shared" si="3"/>
        <v>0.76268926105360124</v>
      </c>
      <c r="L21">
        <f t="shared" si="4"/>
        <v>5.1310953875620955</v>
      </c>
      <c r="M21" s="1">
        <f t="shared" si="5"/>
        <v>45.580350952626475</v>
      </c>
      <c r="N21">
        <f t="shared" si="6"/>
        <v>8.8831618806219037</v>
      </c>
      <c r="O21">
        <f t="shared" si="7"/>
        <v>4491.5131442999991</v>
      </c>
      <c r="P21">
        <f t="shared" si="8"/>
        <v>3952.9607333999998</v>
      </c>
      <c r="Q21">
        <f t="shared" si="9"/>
        <v>0.46254453350792246</v>
      </c>
      <c r="R21" s="4">
        <f t="shared" si="10"/>
        <v>10.135557418676909</v>
      </c>
      <c r="S21" s="6">
        <f t="shared" si="11"/>
        <v>1.7015956631645803</v>
      </c>
      <c r="T21">
        <f t="shared" si="12"/>
        <v>-9.1481535450194329E-2</v>
      </c>
      <c r="U21">
        <f t="shared" si="13"/>
        <v>4.9126418478794402</v>
      </c>
      <c r="V21">
        <f t="shared" si="14"/>
        <v>0.2802174975972575</v>
      </c>
      <c r="W21">
        <f t="shared" si="15"/>
        <v>16.108143273836458</v>
      </c>
      <c r="X21">
        <f t="shared" si="16"/>
        <v>0.46418203284514925</v>
      </c>
      <c r="Y21">
        <f t="shared" si="17"/>
        <v>8.4024892417755552</v>
      </c>
      <c r="Z21">
        <f t="shared" si="18"/>
        <v>10.151122296243585</v>
      </c>
      <c r="AA21">
        <f t="shared" si="19"/>
        <v>-2.3518695651724819E-2</v>
      </c>
      <c r="AB21">
        <f t="shared" si="20"/>
        <v>1.7251143588163051</v>
      </c>
      <c r="AC21" s="6">
        <f t="shared" si="21"/>
        <v>1.7015956631645803</v>
      </c>
    </row>
    <row r="22" spans="1:29" x14ac:dyDescent="0.3">
      <c r="A22">
        <v>2020</v>
      </c>
      <c r="B22" s="2">
        <v>4517.6746586999998</v>
      </c>
      <c r="C22" s="2">
        <v>13.532400000000003</v>
      </c>
      <c r="D22" s="2">
        <v>4774.6600964999998</v>
      </c>
      <c r="G22">
        <v>2020</v>
      </c>
      <c r="H22">
        <f t="shared" si="0"/>
        <v>13.532400000000003</v>
      </c>
      <c r="I22">
        <f t="shared" si="1"/>
        <v>0.64949841327995983</v>
      </c>
      <c r="J22">
        <f t="shared" si="2"/>
        <v>6955.6361745147187</v>
      </c>
      <c r="K22">
        <f t="shared" si="3"/>
        <v>0.68644477323213626</v>
      </c>
      <c r="L22">
        <f t="shared" si="4"/>
        <v>9.6901936049484707</v>
      </c>
      <c r="M22" s="1">
        <f t="shared" si="5"/>
        <v>86.079558447324402</v>
      </c>
      <c r="N22">
        <f t="shared" si="6"/>
        <v>8.8831618806219037</v>
      </c>
      <c r="O22">
        <f t="shared" si="7"/>
        <v>4774.6600964999998</v>
      </c>
      <c r="P22">
        <f t="shared" si="8"/>
        <v>4517.6746586999998</v>
      </c>
      <c r="Q22">
        <f t="shared" si="9"/>
        <v>0.71607354238335186</v>
      </c>
      <c r="R22" s="4">
        <f t="shared" si="10"/>
        <v>14.042049863845424</v>
      </c>
      <c r="S22" s="6">
        <f t="shared" si="11"/>
        <v>3.9064924451685155</v>
      </c>
      <c r="T22">
        <f t="shared" si="12"/>
        <v>2.4392078512396704</v>
      </c>
      <c r="U22">
        <f t="shared" si="13"/>
        <v>4.9126418478794402</v>
      </c>
      <c r="V22">
        <f t="shared" si="14"/>
        <v>1.0356804020038157</v>
      </c>
      <c r="W22">
        <f t="shared" si="15"/>
        <v>16.108143273836458</v>
      </c>
      <c r="X22">
        <f t="shared" si="16"/>
        <v>0.31980512712053089</v>
      </c>
      <c r="Y22">
        <f t="shared" si="17"/>
        <v>17.747994770558474</v>
      </c>
      <c r="Z22">
        <f t="shared" si="18"/>
        <v>9.447189425060035</v>
      </c>
      <c r="AA22">
        <f t="shared" si="19"/>
        <v>6.1036488953334773</v>
      </c>
      <c r="AB22">
        <f t="shared" si="20"/>
        <v>-2.1971564501649619</v>
      </c>
      <c r="AC22" s="6">
        <f t="shared" si="21"/>
        <v>3.9064924451685155</v>
      </c>
    </row>
    <row r="23" spans="1:29" x14ac:dyDescent="0.3">
      <c r="A23">
        <v>2021</v>
      </c>
      <c r="B23" s="2">
        <v>4463.0000330999992</v>
      </c>
      <c r="C23" s="2">
        <v>16.054816955684011</v>
      </c>
      <c r="D23" s="2">
        <v>4737.4019847</v>
      </c>
      <c r="G23">
        <v>2021</v>
      </c>
      <c r="H23">
        <f t="shared" si="0"/>
        <v>16.054816955684011</v>
      </c>
      <c r="I23">
        <f t="shared" si="1"/>
        <v>0.63136597363496949</v>
      </c>
      <c r="J23">
        <f t="shared" si="2"/>
        <v>7068.8003780202562</v>
      </c>
      <c r="K23">
        <f t="shared" si="3"/>
        <v>0.6701847175413933</v>
      </c>
      <c r="L23">
        <f t="shared" si="4"/>
        <v>11.198996035992925</v>
      </c>
      <c r="M23" s="1">
        <f t="shared" si="5"/>
        <v>99.482494688168146</v>
      </c>
      <c r="N23">
        <f t="shared" si="6"/>
        <v>8.8831618806219037</v>
      </c>
      <c r="O23">
        <f t="shared" si="7"/>
        <v>4737.4019847</v>
      </c>
      <c r="P23">
        <f t="shared" si="8"/>
        <v>4463.0000330999992</v>
      </c>
      <c r="Q23">
        <f t="shared" si="9"/>
        <v>0.69754741314743207</v>
      </c>
      <c r="R23" s="4">
        <f t="shared" si="10"/>
        <v>15.334876869775986</v>
      </c>
      <c r="S23" s="6">
        <f t="shared" si="11"/>
        <v>1.2928270059305618</v>
      </c>
      <c r="T23">
        <f t="shared" si="12"/>
        <v>2.5224169556840081</v>
      </c>
      <c r="U23">
        <f t="shared" si="13"/>
        <v>4.9126418478794402</v>
      </c>
      <c r="V23">
        <f t="shared" si="14"/>
        <v>0.66532856848911637</v>
      </c>
      <c r="W23">
        <f t="shared" si="15"/>
        <v>16.108143273836458</v>
      </c>
      <c r="X23">
        <f t="shared" si="16"/>
        <v>0.75074973594944294</v>
      </c>
      <c r="Y23">
        <f t="shared" si="17"/>
        <v>14.891652774960033</v>
      </c>
      <c r="Z23">
        <f t="shared" si="18"/>
        <v>16.066763801666362</v>
      </c>
      <c r="AA23">
        <f t="shared" si="19"/>
        <v>5.8857989612116413E-2</v>
      </c>
      <c r="AB23">
        <f t="shared" si="20"/>
        <v>1.2339690163184454</v>
      </c>
      <c r="AC23" s="6">
        <f t="shared" si="21"/>
        <v>1.2928270059305618</v>
      </c>
    </row>
    <row r="24" spans="1:29" x14ac:dyDescent="0.3">
      <c r="A24">
        <v>2022</v>
      </c>
      <c r="B24" s="2">
        <v>4305.1123541999996</v>
      </c>
      <c r="C24" s="2">
        <v>15.634973637961336</v>
      </c>
      <c r="D24" s="2">
        <v>4569.2995572</v>
      </c>
      <c r="G24">
        <v>2022</v>
      </c>
      <c r="H24">
        <f t="shared" si="0"/>
        <v>15.634973637961336</v>
      </c>
      <c r="I24">
        <f t="shared" si="1"/>
        <v>0.63414358741841348</v>
      </c>
      <c r="J24">
        <f t="shared" si="2"/>
        <v>6788.8605035431019</v>
      </c>
      <c r="K24">
        <f t="shared" si="3"/>
        <v>0.67305839541338131</v>
      </c>
      <c r="L24">
        <f t="shared" si="4"/>
        <v>10.913445590088301</v>
      </c>
      <c r="M24" s="1">
        <f t="shared" si="5"/>
        <v>96.945903852113616</v>
      </c>
      <c r="N24">
        <f t="shared" si="6"/>
        <v>8.8831618806219037</v>
      </c>
      <c r="O24">
        <f t="shared" si="7"/>
        <v>4569.2995572</v>
      </c>
      <c r="P24">
        <f t="shared" si="8"/>
        <v>4305.1123541999996</v>
      </c>
      <c r="Q24">
        <f t="shared" si="9"/>
        <v>0.69801496585774336</v>
      </c>
      <c r="R24" s="4">
        <f t="shared" si="10"/>
        <v>15.090201145224398</v>
      </c>
      <c r="S24" s="6">
        <f t="shared" si="11"/>
        <v>-0.24467572455158759</v>
      </c>
      <c r="T24">
        <f t="shared" si="12"/>
        <v>-0.41984331772267502</v>
      </c>
      <c r="U24">
        <f t="shared" si="13"/>
        <v>4.9126418478794402</v>
      </c>
      <c r="V24">
        <f t="shared" si="14"/>
        <v>0.56123943266866139</v>
      </c>
      <c r="W24">
        <f t="shared" si="15"/>
        <v>16.108143273836458</v>
      </c>
      <c r="X24">
        <f t="shared" si="16"/>
        <v>0.86754156146350481</v>
      </c>
      <c r="Y24">
        <f t="shared" si="17"/>
        <v>13.257829299915482</v>
      </c>
      <c r="Z24">
        <f t="shared" si="18"/>
        <v>17.361336585724828</v>
      </c>
      <c r="AA24">
        <f t="shared" si="19"/>
        <v>-2.174091505180467</v>
      </c>
      <c r="AB24">
        <f t="shared" si="20"/>
        <v>1.9294157806288794</v>
      </c>
      <c r="AC24" s="6">
        <f t="shared" si="21"/>
        <v>-0.24467572455158759</v>
      </c>
    </row>
    <row r="25" spans="1:29" x14ac:dyDescent="0.3">
      <c r="A25">
        <v>2023</v>
      </c>
      <c r="B25" s="2">
        <v>4104.6754707</v>
      </c>
      <c r="C25" s="2">
        <v>12.9261231281198</v>
      </c>
      <c r="D25" s="2">
        <v>4447.0900110000002</v>
      </c>
      <c r="G25">
        <v>2023</v>
      </c>
      <c r="H25">
        <f t="shared" si="0"/>
        <v>12.9261231281198</v>
      </c>
      <c r="I25">
        <f t="shared" si="1"/>
        <v>0.65444896093455684</v>
      </c>
      <c r="J25">
        <f t="shared" si="2"/>
        <v>6271.9565859475124</v>
      </c>
      <c r="K25">
        <f t="shared" si="3"/>
        <v>0.70904349385386778</v>
      </c>
      <c r="L25">
        <f t="shared" si="4"/>
        <v>7.9692081205594665</v>
      </c>
      <c r="M25" s="1">
        <f t="shared" si="5"/>
        <v>70.791765795296371</v>
      </c>
      <c r="N25">
        <f t="shared" si="6"/>
        <v>8.8831618806219037</v>
      </c>
      <c r="O25">
        <f t="shared" si="7"/>
        <v>4447.0900110000002</v>
      </c>
      <c r="P25">
        <f t="shared" si="8"/>
        <v>4104.6754707</v>
      </c>
      <c r="Q25">
        <f t="shared" si="9"/>
        <v>0.61651958917388494</v>
      </c>
      <c r="R25" s="4">
        <f t="shared" si="10"/>
        <v>12.567412452575864</v>
      </c>
      <c r="S25" s="6">
        <f t="shared" si="11"/>
        <v>-2.5227886926485343</v>
      </c>
      <c r="T25">
        <f t="shared" si="12"/>
        <v>-2.7088505098415361</v>
      </c>
      <c r="U25">
        <f t="shared" si="13"/>
        <v>4.9126418478794402</v>
      </c>
      <c r="V25">
        <f t="shared" si="14"/>
        <v>0.52344941377963061</v>
      </c>
      <c r="W25">
        <f t="shared" si="15"/>
        <v>16.108143273836458</v>
      </c>
      <c r="X25">
        <f t="shared" si="16"/>
        <v>0.82212318642314919</v>
      </c>
      <c r="Y25">
        <f t="shared" si="17"/>
        <v>11.536582898821141</v>
      </c>
      <c r="Z25">
        <f t="shared" si="18"/>
        <v>14.844643192767517</v>
      </c>
      <c r="AA25">
        <f t="shared" si="19"/>
        <v>-2.9154244932974551</v>
      </c>
      <c r="AB25">
        <f t="shared" si="20"/>
        <v>0.39263580064892079</v>
      </c>
      <c r="AC25" s="6">
        <f t="shared" si="21"/>
        <v>-2.5227886926485343</v>
      </c>
    </row>
    <row r="26" spans="1:29" x14ac:dyDescent="0.3">
      <c r="A26">
        <v>2024</v>
      </c>
      <c r="B26" s="2">
        <v>4420.8182655000001</v>
      </c>
      <c r="C26" s="2">
        <v>10.195280716029293</v>
      </c>
      <c r="D26" s="2">
        <v>4745.6325735</v>
      </c>
      <c r="G26">
        <v>2024</v>
      </c>
      <c r="H26">
        <f t="shared" si="0"/>
        <v>10.195280716029293</v>
      </c>
      <c r="I26">
        <f t="shared" si="1"/>
        <v>0.68069108004700829</v>
      </c>
      <c r="J26">
        <f t="shared" si="2"/>
        <v>6494.6029044404404</v>
      </c>
      <c r="K26">
        <f t="shared" si="3"/>
        <v>0.73070403892674518</v>
      </c>
      <c r="L26">
        <f t="shared" si="4"/>
        <v>6.6454776303264076</v>
      </c>
      <c r="M26" s="1">
        <f t="shared" si="5"/>
        <v>59.032853564241123</v>
      </c>
      <c r="N26">
        <f t="shared" si="6"/>
        <v>8.8831618806219037</v>
      </c>
      <c r="O26">
        <f t="shared" si="7"/>
        <v>4745.6325735</v>
      </c>
      <c r="P26">
        <f t="shared" si="8"/>
        <v>4420.8182655000001</v>
      </c>
      <c r="Q26">
        <f t="shared" si="9"/>
        <v>0.65181899502563057</v>
      </c>
      <c r="R26" s="4">
        <f t="shared" si="10"/>
        <v>11.433165521940712</v>
      </c>
      <c r="S26" s="6">
        <f t="shared" si="11"/>
        <v>-1.1342469306351521</v>
      </c>
      <c r="T26">
        <f t="shared" si="12"/>
        <v>-2.7308424120905066</v>
      </c>
      <c r="U26">
        <f t="shared" si="13"/>
        <v>4.9126418478794402</v>
      </c>
      <c r="V26">
        <f t="shared" si="14"/>
        <v>0.96486487031194501</v>
      </c>
      <c r="W26">
        <f t="shared" si="15"/>
        <v>16.108143273836458</v>
      </c>
      <c r="X26">
        <f t="shared" si="16"/>
        <v>0.41649270420531914</v>
      </c>
      <c r="Y26">
        <f t="shared" si="17"/>
        <v>14.167900304329759</v>
      </c>
      <c r="Z26">
        <f t="shared" si="18"/>
        <v>9.3773805922453288</v>
      </c>
      <c r="AA26">
        <f t="shared" si="19"/>
        <v>1.8281363907246391</v>
      </c>
      <c r="AB26">
        <f t="shared" si="20"/>
        <v>-2.9623833213597912</v>
      </c>
      <c r="AC26" s="6">
        <f t="shared" si="21"/>
        <v>-1.1342469306351521</v>
      </c>
    </row>
    <row r="27" spans="1:29" x14ac:dyDescent="0.3">
      <c r="A27">
        <v>2025</v>
      </c>
      <c r="B27" s="2">
        <v>4256.9781071999996</v>
      </c>
      <c r="C27" s="2">
        <v>10.199999999999999</v>
      </c>
      <c r="D27" s="2">
        <v>4606.6679000999993</v>
      </c>
      <c r="G27">
        <v>2025</v>
      </c>
      <c r="H27">
        <f t="shared" si="0"/>
        <v>10.199999999999999</v>
      </c>
      <c r="I27">
        <f t="shared" si="1"/>
        <v>0.68063889769176422</v>
      </c>
      <c r="J27">
        <f t="shared" si="2"/>
        <v>6254.3855804253863</v>
      </c>
      <c r="K27">
        <f t="shared" si="3"/>
        <v>0.73655003211149661</v>
      </c>
      <c r="L27">
        <f t="shared" si="4"/>
        <v>6.3333773979237442</v>
      </c>
      <c r="M27" s="1">
        <f t="shared" si="5"/>
        <v>56.260416676828548</v>
      </c>
      <c r="N27">
        <f t="shared" si="6"/>
        <v>8.8831618806219037</v>
      </c>
      <c r="O27">
        <f t="shared" si="7"/>
        <v>4606.6679000999993</v>
      </c>
      <c r="P27">
        <f t="shared" si="8"/>
        <v>4256.9781071999996</v>
      </c>
      <c r="Q27">
        <f t="shared" si="9"/>
        <v>0.62091935273762244</v>
      </c>
      <c r="R27" s="4">
        <f t="shared" si="10"/>
        <v>11.165740443146234</v>
      </c>
      <c r="S27" s="6">
        <f t="shared" si="11"/>
        <v>-0.26742507879447786</v>
      </c>
      <c r="T27">
        <f t="shared" si="12"/>
        <v>4.7192839707062006E-3</v>
      </c>
      <c r="U27">
        <f t="shared" si="13"/>
        <v>4.9126418478794402</v>
      </c>
      <c r="V27">
        <f t="shared" si="14"/>
        <v>0.51894421758204334</v>
      </c>
      <c r="W27">
        <f t="shared" si="15"/>
        <v>16.108143273836458</v>
      </c>
      <c r="X27">
        <f t="shared" si="16"/>
        <v>0.77990468875282593</v>
      </c>
      <c r="Y27">
        <f t="shared" si="17"/>
        <v>10.274484370986299</v>
      </c>
      <c r="Z27">
        <f t="shared" si="18"/>
        <v>12.555261975937114</v>
      </c>
      <c r="AA27">
        <f t="shared" si="19"/>
        <v>-1.2741013418726466</v>
      </c>
      <c r="AB27">
        <f t="shared" si="20"/>
        <v>1.0066762630781687</v>
      </c>
      <c r="AC27" s="6">
        <f t="shared" si="21"/>
        <v>-0.26742507879447786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9E28-E97A-481F-A279-0A4929B31A46}">
  <dimension ref="A1:AH27"/>
  <sheetViews>
    <sheetView tabSelected="1" workbookViewId="0">
      <selection activeCell="U2" sqref="U2"/>
    </sheetView>
  </sheetViews>
  <sheetFormatPr defaultRowHeight="14.4" x14ac:dyDescent="0.3"/>
  <cols>
    <col min="21" max="22" width="8.88671875" customWidth="1"/>
    <col min="24" max="24" width="12.6640625" bestFit="1" customWidth="1"/>
    <col min="25" max="25" width="15.109375" bestFit="1" customWidth="1"/>
    <col min="26" max="26" width="14" bestFit="1" customWidth="1"/>
    <col min="27" max="27" width="12.44140625" bestFit="1" customWidth="1"/>
    <col min="28" max="28" width="15.109375" bestFit="1" customWidth="1"/>
    <col min="29" max="29" width="14" bestFit="1" customWidth="1"/>
  </cols>
  <sheetData>
    <row r="1" spans="1:34" x14ac:dyDescent="0.3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>
        <v>-0.16565854320000001</v>
      </c>
      <c r="H1" s="5" t="s">
        <v>12</v>
      </c>
      <c r="I1" s="5" t="s">
        <v>7</v>
      </c>
      <c r="J1" s="5" t="s">
        <v>5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15</v>
      </c>
      <c r="P1" s="5" t="s">
        <v>16</v>
      </c>
      <c r="Q1" s="5" t="s">
        <v>43</v>
      </c>
      <c r="R1" s="5" t="s">
        <v>26</v>
      </c>
      <c r="S1" s="5" t="s">
        <v>29</v>
      </c>
      <c r="T1" s="5" t="s">
        <v>30</v>
      </c>
      <c r="U1" s="5" t="s">
        <v>28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5" t="s">
        <v>37</v>
      </c>
      <c r="AC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</row>
    <row r="2" spans="1:34" x14ac:dyDescent="0.3">
      <c r="A2">
        <v>2000</v>
      </c>
      <c r="B2" s="2">
        <v>2803.7647721999997</v>
      </c>
      <c r="C2" s="2">
        <v>9.0152456418383533</v>
      </c>
      <c r="D2" s="2">
        <v>3051.5275412999999</v>
      </c>
      <c r="E2" t="s">
        <v>6</v>
      </c>
      <c r="F2">
        <f>1/F1</f>
        <v>-6.0365133043135435</v>
      </c>
      <c r="G2">
        <v>2000</v>
      </c>
      <c r="H2">
        <f>C2</f>
        <v>9.0152456418383533</v>
      </c>
      <c r="I2">
        <f>H2^$F$1</f>
        <v>0.69470401339734489</v>
      </c>
      <c r="J2">
        <f>B2/I2</f>
        <v>4035.9127313639838</v>
      </c>
      <c r="K2">
        <f>D2/J2</f>
        <v>0.75609353928440881</v>
      </c>
      <c r="L2">
        <f>K2^$F$2</f>
        <v>5.407299763935228</v>
      </c>
      <c r="M2" s="1">
        <f>100*L2/$L$11</f>
        <v>48.033919140085224</v>
      </c>
      <c r="N2">
        <f>100*$K$11^-$F$2</f>
        <v>8.8831618806219037</v>
      </c>
      <c r="O2">
        <f t="shared" ref="O2:O27" si="0">(D2/B2)^$F$2</f>
        <v>0.59979505592624016</v>
      </c>
      <c r="P2" s="4">
        <f t="shared" ref="P2:P27" si="1">$F$3+$F$4*(N2*H2)*O2</f>
        <v>10.372224903818889</v>
      </c>
      <c r="S2">
        <f t="shared" ref="S2:S3" si="2">D2</f>
        <v>3051.5275412999999</v>
      </c>
      <c r="T2">
        <f t="shared" ref="T2:T3" si="3">B2</f>
        <v>2803.7647721999997</v>
      </c>
    </row>
    <row r="3" spans="1:34" x14ac:dyDescent="0.3">
      <c r="A3">
        <v>2001</v>
      </c>
      <c r="B3" s="2">
        <v>2932.6984154999996</v>
      </c>
      <c r="C3" s="2">
        <v>8.4303225806451625</v>
      </c>
      <c r="D3" s="2">
        <v>3140.7779885999998</v>
      </c>
      <c r="E3" t="s">
        <v>13</v>
      </c>
      <c r="F3" s="2">
        <v>5.7389455425586897</v>
      </c>
      <c r="G3">
        <v>2001</v>
      </c>
      <c r="H3">
        <f t="shared" ref="H3:H27" si="4">C3</f>
        <v>8.4303225806451625</v>
      </c>
      <c r="I3">
        <f t="shared" ref="I3:I27" si="5">H3^$F$1</f>
        <v>0.70246711758024583</v>
      </c>
      <c r="J3">
        <f t="shared" ref="J3:J27" si="6">B3/I3</f>
        <v>4174.855081618799</v>
      </c>
      <c r="K3">
        <f t="shared" ref="K3:K27" si="7">D3/J3</f>
        <v>0.75230826632242387</v>
      </c>
      <c r="L3">
        <f t="shared" ref="L3:L27" si="8">K3^$F$2</f>
        <v>5.5736307484323344</v>
      </c>
      <c r="M3" s="1">
        <f t="shared" ref="M3:M27" si="9">100*L3/$L$11</f>
        <v>49.511464201136242</v>
      </c>
      <c r="N3">
        <f t="shared" ref="N3:N27" si="10">100*$K$11^-$F$2</f>
        <v>8.8831618806219037</v>
      </c>
      <c r="O3">
        <f t="shared" si="0"/>
        <v>0.66114086324865096</v>
      </c>
      <c r="P3" s="4">
        <f t="shared" si="1"/>
        <v>10.514746670921308</v>
      </c>
      <c r="Q3" s="6">
        <f>H3-H2</f>
        <v>-0.58492306119319082</v>
      </c>
      <c r="R3" s="6">
        <f>P3-P2</f>
        <v>0.14252176710241926</v>
      </c>
      <c r="S3">
        <f t="shared" si="2"/>
        <v>3140.7779885999998</v>
      </c>
      <c r="T3">
        <f t="shared" si="3"/>
        <v>2932.6984154999996</v>
      </c>
      <c r="U3">
        <f>D2</f>
        <v>3051.5275412999999</v>
      </c>
      <c r="V3">
        <f>B2</f>
        <v>2803.7647721999997</v>
      </c>
      <c r="W3">
        <f>N3*H3*$F$4</f>
        <v>7.2235757821650033</v>
      </c>
      <c r="X3">
        <f>$F$3+W3*((U3/V3)^$F$2)</f>
        <v>10.071610582809782</v>
      </c>
      <c r="Y3">
        <f>$F$3+W3*((S3/V3)^$F$2)</f>
        <v>9.3795902891079663</v>
      </c>
      <c r="Z3">
        <f>$F$3+W3*((U3/T3)^$F$2)</f>
        <v>11.422539528942814</v>
      </c>
      <c r="AA3">
        <f>$F$3+W3*((S3/T3)^$F$2)</f>
        <v>10.514746670921308</v>
      </c>
      <c r="AB3">
        <f>0.5*((Y3-X3)+(AA3-Z3))</f>
        <v>-0.79990657586166058</v>
      </c>
      <c r="AC3">
        <f>0.5*((Z3-X3)+(AA3-Y3))</f>
        <v>1.2430426639731866</v>
      </c>
      <c r="AD3">
        <f>AC3+AB3</f>
        <v>0.44313608811152605</v>
      </c>
      <c r="AE3">
        <f>(AB3)/(ABS(AB3)+ABS(AC3))</f>
        <v>-0.3915450077096998</v>
      </c>
      <c r="AF3">
        <f>(AC3)/(ABS(AB3)+ABS(AC3))</f>
        <v>0.6084549922903002</v>
      </c>
      <c r="AG3" s="7">
        <f>AE3*$Q3</f>
        <v>0.2290237045044691</v>
      </c>
      <c r="AH3" s="7">
        <f>AF3*$Q3</f>
        <v>-0.35589935668872169</v>
      </c>
    </row>
    <row r="4" spans="1:34" x14ac:dyDescent="0.3">
      <c r="A4">
        <v>2002</v>
      </c>
      <c r="B4" s="2">
        <v>2790.5737838999994</v>
      </c>
      <c r="C4" s="2">
        <v>10.451116138763199</v>
      </c>
      <c r="D4" s="2">
        <v>2968.8909599999997</v>
      </c>
      <c r="E4" t="s">
        <v>14</v>
      </c>
      <c r="F4" s="2">
        <v>9.6458491087262496E-2</v>
      </c>
      <c r="G4">
        <v>2002</v>
      </c>
      <c r="H4">
        <f t="shared" si="4"/>
        <v>10.451116138763199</v>
      </c>
      <c r="I4">
        <f t="shared" si="5"/>
        <v>0.67790212636906022</v>
      </c>
      <c r="J4">
        <f t="shared" si="6"/>
        <v>4116.48477759866</v>
      </c>
      <c r="K4">
        <f t="shared" si="7"/>
        <v>0.72121995352838253</v>
      </c>
      <c r="L4">
        <f t="shared" si="8"/>
        <v>7.1907802124060494</v>
      </c>
      <c r="M4" s="1">
        <f t="shared" si="9"/>
        <v>63.876864674775689</v>
      </c>
      <c r="N4">
        <f t="shared" si="10"/>
        <v>8.8831618806219037</v>
      </c>
      <c r="O4">
        <f t="shared" si="0"/>
        <v>0.68803945118698262</v>
      </c>
      <c r="P4" s="4">
        <f t="shared" si="1"/>
        <v>11.900411524472812</v>
      </c>
      <c r="Q4" s="6">
        <f t="shared" ref="Q4:Q27" si="11">H4-H3</f>
        <v>2.0207935581180365</v>
      </c>
      <c r="R4" s="6">
        <f t="shared" ref="R4:R27" si="12">P4-P3</f>
        <v>1.3856648535515035</v>
      </c>
      <c r="S4">
        <f t="shared" ref="S2:S27" si="13">D4</f>
        <v>2968.8909599999997</v>
      </c>
      <c r="T4">
        <f t="shared" ref="T2:T27" si="14">B4</f>
        <v>2790.5737838999994</v>
      </c>
      <c r="U4">
        <f t="shared" ref="U4:U27" si="15">D3</f>
        <v>3140.7779885999998</v>
      </c>
      <c r="V4">
        <f t="shared" ref="V4:V27" si="16">B3</f>
        <v>2932.6984154999996</v>
      </c>
      <c r="W4">
        <f t="shared" ref="W4:W27" si="17">N4*H4*$F$4</f>
        <v>8.9551056575092716</v>
      </c>
      <c r="X4">
        <f t="shared" ref="X4:X27" si="18">$F$3+W4*((U4/V4)^$F$2)</f>
        <v>11.659531827447248</v>
      </c>
      <c r="Y4">
        <f t="shared" ref="Y4:Y27" si="19">$F$3+W4*((S4/V4)^$F$2)</f>
        <v>14.054958490952778</v>
      </c>
      <c r="Z4">
        <f t="shared" ref="Z4:Z27" si="20">$F$3+W4*((U4/T4)^$F$2)</f>
        <v>10.125601890222594</v>
      </c>
      <c r="AA4">
        <f t="shared" ref="AA4:AA27" si="21">$F$3+W4*((S4/T4)^$F$2)</f>
        <v>11.900411524472812</v>
      </c>
      <c r="AB4">
        <f t="shared" ref="AB4:AB27" si="22">0.5*((Y4-X4)+(AA4-Z4))</f>
        <v>2.0851181488778741</v>
      </c>
      <c r="AC4">
        <f t="shared" ref="AC4:AC27" si="23">0.5*((Z4-X4)+(AA4-Y4))</f>
        <v>-1.8442384518523101</v>
      </c>
      <c r="AD4">
        <f t="shared" ref="AD4:AD27" si="24">AC4+AB4</f>
        <v>0.240879697025564</v>
      </c>
      <c r="AE4">
        <f t="shared" ref="AE4:AE27" si="25">(AB4)/(ABS(AB4)+ABS(AC4))</f>
        <v>0.53065128995683442</v>
      </c>
      <c r="AF4">
        <f t="shared" ref="AF4:AF27" si="26">(AC4)/(ABS(AB4)+ABS(AC4))</f>
        <v>-0.46934871004316564</v>
      </c>
      <c r="AG4" s="7">
        <f t="shared" ref="AG4:AG27" si="27">AE4*$Q4</f>
        <v>1.0723367083517974</v>
      </c>
      <c r="AH4" s="7">
        <f t="shared" ref="AH4:AH27" si="28">AF4*$Q4</f>
        <v>-0.94845684976623934</v>
      </c>
    </row>
    <row r="5" spans="1:34" x14ac:dyDescent="0.3">
      <c r="A5">
        <v>2003</v>
      </c>
      <c r="B5" s="2">
        <v>2525.3210135999998</v>
      </c>
      <c r="C5" s="2">
        <v>13.584963072378139</v>
      </c>
      <c r="D5" s="2">
        <v>2637.7199918999995</v>
      </c>
      <c r="G5">
        <v>2003</v>
      </c>
      <c r="H5">
        <f t="shared" si="4"/>
        <v>13.584963072378139</v>
      </c>
      <c r="I5">
        <f t="shared" si="5"/>
        <v>0.64908143223680093</v>
      </c>
      <c r="J5">
        <f t="shared" si="6"/>
        <v>3890.6073848045316</v>
      </c>
      <c r="K5">
        <f t="shared" si="7"/>
        <v>0.67797126027213395</v>
      </c>
      <c r="L5">
        <f t="shared" si="8"/>
        <v>10.444684567199767</v>
      </c>
      <c r="M5" s="1">
        <f t="shared" si="9"/>
        <v>92.78182380246885</v>
      </c>
      <c r="N5">
        <f t="shared" si="10"/>
        <v>8.8831618806219037</v>
      </c>
      <c r="O5">
        <f t="shared" si="0"/>
        <v>0.76884158694818927</v>
      </c>
      <c r="P5" s="4">
        <f t="shared" si="1"/>
        <v>14.688540266869083</v>
      </c>
      <c r="Q5" s="6">
        <f t="shared" si="11"/>
        <v>3.1338469336149402</v>
      </c>
      <c r="R5" s="6">
        <f t="shared" si="12"/>
        <v>2.7881287423962711</v>
      </c>
      <c r="S5">
        <f t="shared" si="13"/>
        <v>2637.7199918999995</v>
      </c>
      <c r="T5">
        <f t="shared" si="14"/>
        <v>2525.3210135999998</v>
      </c>
      <c r="U5">
        <f t="shared" si="15"/>
        <v>2968.8909599999997</v>
      </c>
      <c r="V5">
        <f t="shared" si="16"/>
        <v>2790.5737838999994</v>
      </c>
      <c r="W5">
        <f t="shared" si="17"/>
        <v>11.640362431270889</v>
      </c>
      <c r="X5">
        <f t="shared" si="18"/>
        <v>13.747974121387884</v>
      </c>
      <c r="Y5">
        <f t="shared" si="19"/>
        <v>22.093876222078247</v>
      </c>
      <c r="Z5">
        <f t="shared" si="20"/>
        <v>10.121572489776451</v>
      </c>
      <c r="AA5">
        <f t="shared" si="21"/>
        <v>14.688540266869083</v>
      </c>
      <c r="AB5">
        <f t="shared" si="22"/>
        <v>6.4564349388914977</v>
      </c>
      <c r="AC5">
        <f t="shared" si="23"/>
        <v>-5.5158687934102986</v>
      </c>
      <c r="AD5">
        <f t="shared" si="24"/>
        <v>0.9405661454811991</v>
      </c>
      <c r="AE5">
        <f t="shared" si="25"/>
        <v>0.53928091729511973</v>
      </c>
      <c r="AF5">
        <f t="shared" si="26"/>
        <v>-0.46071908270488032</v>
      </c>
      <c r="AG5" s="7">
        <f t="shared" si="27"/>
        <v>1.6900238490223631</v>
      </c>
      <c r="AH5" s="7">
        <f t="shared" si="28"/>
        <v>-1.4438230845925772</v>
      </c>
    </row>
    <row r="6" spans="1:34" x14ac:dyDescent="0.3">
      <c r="A6">
        <v>2004</v>
      </c>
      <c r="B6" s="2">
        <v>2986.0502678999997</v>
      </c>
      <c r="C6" s="2">
        <v>10.274600000000001</v>
      </c>
      <c r="D6" s="2">
        <v>3241.7864198999996</v>
      </c>
      <c r="G6">
        <v>2004</v>
      </c>
      <c r="H6">
        <f t="shared" si="4"/>
        <v>10.274600000000001</v>
      </c>
      <c r="I6">
        <f t="shared" si="5"/>
        <v>0.67981774520199256</v>
      </c>
      <c r="J6">
        <f t="shared" si="6"/>
        <v>4392.4276601705387</v>
      </c>
      <c r="K6">
        <f t="shared" si="7"/>
        <v>0.73803979728470592</v>
      </c>
      <c r="L6">
        <f t="shared" si="8"/>
        <v>6.2565966490313771</v>
      </c>
      <c r="M6" s="1">
        <f t="shared" si="9"/>
        <v>55.578360855102261</v>
      </c>
      <c r="N6">
        <f t="shared" si="10"/>
        <v>8.8831618806219037</v>
      </c>
      <c r="O6">
        <f t="shared" si="0"/>
        <v>0.60893822134500353</v>
      </c>
      <c r="P6" s="4">
        <f t="shared" si="1"/>
        <v>11.099950367745228</v>
      </c>
      <c r="Q6" s="6">
        <f t="shared" si="11"/>
        <v>-3.3103630723781379</v>
      </c>
      <c r="R6" s="6">
        <f t="shared" si="12"/>
        <v>-3.5885898991238552</v>
      </c>
      <c r="S6">
        <f t="shared" si="13"/>
        <v>3241.7864198999996</v>
      </c>
      <c r="T6">
        <f t="shared" si="14"/>
        <v>2986.0502678999997</v>
      </c>
      <c r="U6">
        <f t="shared" si="15"/>
        <v>2637.7199918999995</v>
      </c>
      <c r="V6">
        <f t="shared" si="16"/>
        <v>2525.3210135999998</v>
      </c>
      <c r="W6">
        <f t="shared" si="17"/>
        <v>8.8038566758797305</v>
      </c>
      <c r="X6">
        <f t="shared" si="18"/>
        <v>12.507716680506473</v>
      </c>
      <c r="Y6">
        <f t="shared" si="19"/>
        <v>7.6883664046944231</v>
      </c>
      <c r="Z6">
        <f t="shared" si="20"/>
        <v>24.35340455238272</v>
      </c>
      <c r="AA6">
        <f t="shared" si="21"/>
        <v>11.099950367745228</v>
      </c>
      <c r="AB6">
        <f t="shared" si="22"/>
        <v>-9.0364022302247715</v>
      </c>
      <c r="AC6">
        <f t="shared" si="23"/>
        <v>7.6286359174635265</v>
      </c>
      <c r="AD6">
        <f t="shared" si="24"/>
        <v>-1.407766312761245</v>
      </c>
      <c r="AE6">
        <f t="shared" si="25"/>
        <v>-0.54223711641957817</v>
      </c>
      <c r="AF6">
        <f t="shared" si="26"/>
        <v>0.45776288358042178</v>
      </c>
      <c r="AG6" s="7">
        <f t="shared" si="27"/>
        <v>1.7950017266681768</v>
      </c>
      <c r="AH6" s="7">
        <f t="shared" si="28"/>
        <v>-1.5153613457099608</v>
      </c>
    </row>
    <row r="7" spans="1:34" x14ac:dyDescent="0.3">
      <c r="A7">
        <v>2005</v>
      </c>
      <c r="B7" s="2">
        <v>2878.1340209999994</v>
      </c>
      <c r="C7" s="2">
        <v>9.8911854951185507</v>
      </c>
      <c r="D7" s="2">
        <v>3327.4727282999997</v>
      </c>
      <c r="G7">
        <v>2005</v>
      </c>
      <c r="H7">
        <f t="shared" si="4"/>
        <v>9.8911854951185507</v>
      </c>
      <c r="I7">
        <f t="shared" si="5"/>
        <v>0.68411420586946703</v>
      </c>
      <c r="J7">
        <f t="shared" si="6"/>
        <v>4207.095827431428</v>
      </c>
      <c r="K7">
        <f t="shared" si="7"/>
        <v>0.79091916723264477</v>
      </c>
      <c r="L7">
        <f t="shared" si="8"/>
        <v>4.120281906378354</v>
      </c>
      <c r="M7" s="1">
        <f t="shared" si="9"/>
        <v>36.601131168156336</v>
      </c>
      <c r="N7">
        <f t="shared" si="10"/>
        <v>8.8831618806219037</v>
      </c>
      <c r="O7">
        <f t="shared" si="0"/>
        <v>0.41656097829848376</v>
      </c>
      <c r="P7" s="4">
        <f t="shared" si="1"/>
        <v>9.2694354271260266</v>
      </c>
      <c r="Q7" s="6">
        <f t="shared" si="11"/>
        <v>-0.38341450488145057</v>
      </c>
      <c r="R7" s="6">
        <f t="shared" si="12"/>
        <v>-1.8305149406192012</v>
      </c>
      <c r="S7">
        <f t="shared" si="13"/>
        <v>3327.4727282999997</v>
      </c>
      <c r="T7">
        <f t="shared" si="14"/>
        <v>2878.1340209999994</v>
      </c>
      <c r="U7">
        <f t="shared" si="15"/>
        <v>3241.7864198999996</v>
      </c>
      <c r="V7">
        <f t="shared" si="16"/>
        <v>2986.0502678999997</v>
      </c>
      <c r="W7">
        <f t="shared" si="17"/>
        <v>8.4753255069359597</v>
      </c>
      <c r="X7">
        <f t="shared" si="18"/>
        <v>10.899895182072214</v>
      </c>
      <c r="Y7">
        <f t="shared" si="19"/>
        <v>10.147896673650767</v>
      </c>
      <c r="Z7">
        <f t="shared" si="20"/>
        <v>9.8716020305317684</v>
      </c>
      <c r="AA7">
        <f t="shared" si="21"/>
        <v>9.2694354271260266</v>
      </c>
      <c r="AB7">
        <f t="shared" si="22"/>
        <v>-0.67708255591359467</v>
      </c>
      <c r="AC7">
        <f t="shared" si="23"/>
        <v>-0.95337719903259277</v>
      </c>
      <c r="AD7">
        <f t="shared" si="24"/>
        <v>-1.6304597549461874</v>
      </c>
      <c r="AE7">
        <f t="shared" si="25"/>
        <v>-0.41527094051821073</v>
      </c>
      <c r="AF7">
        <f t="shared" si="26"/>
        <v>-0.58472905948178922</v>
      </c>
      <c r="AG7" s="7">
        <f t="shared" si="27"/>
        <v>0.15922090205044406</v>
      </c>
      <c r="AH7" s="7">
        <f t="shared" si="28"/>
        <v>0.22419360283100648</v>
      </c>
    </row>
    <row r="8" spans="1:34" x14ac:dyDescent="0.3">
      <c r="A8">
        <v>2006</v>
      </c>
      <c r="B8" s="2">
        <v>3081.2899382999999</v>
      </c>
      <c r="C8" s="2">
        <v>10.976553133514985</v>
      </c>
      <c r="D8" s="2">
        <v>3655.1163011999997</v>
      </c>
      <c r="G8">
        <v>2006</v>
      </c>
      <c r="H8">
        <f t="shared" si="4"/>
        <v>10.976553133514985</v>
      </c>
      <c r="I8">
        <f t="shared" si="5"/>
        <v>0.67241581730591515</v>
      </c>
      <c r="J8">
        <f t="shared" si="6"/>
        <v>4582.4173956011646</v>
      </c>
      <c r="K8">
        <f t="shared" si="7"/>
        <v>0.7976393212693117</v>
      </c>
      <c r="L8">
        <f t="shared" si="8"/>
        <v>3.9151286327618871</v>
      </c>
      <c r="M8" s="1">
        <f t="shared" si="9"/>
        <v>34.778721428281742</v>
      </c>
      <c r="N8">
        <f t="shared" si="10"/>
        <v>8.8831618806219037</v>
      </c>
      <c r="O8">
        <f t="shared" si="0"/>
        <v>0.35668106236444358</v>
      </c>
      <c r="P8" s="4">
        <f t="shared" si="1"/>
        <v>9.0936485334749904</v>
      </c>
      <c r="Q8" s="6">
        <f t="shared" si="11"/>
        <v>1.0853676383964341</v>
      </c>
      <c r="R8" s="6">
        <f t="shared" si="12"/>
        <v>-0.17578689365103628</v>
      </c>
      <c r="S8">
        <f t="shared" si="13"/>
        <v>3655.1163011999997</v>
      </c>
      <c r="T8">
        <f t="shared" si="14"/>
        <v>3081.2899382999999</v>
      </c>
      <c r="U8">
        <f t="shared" si="15"/>
        <v>3327.4727282999997</v>
      </c>
      <c r="V8">
        <f t="shared" si="16"/>
        <v>2878.1340209999994</v>
      </c>
      <c r="W8">
        <f t="shared" si="17"/>
        <v>9.4053297045767685</v>
      </c>
      <c r="X8">
        <f t="shared" si="18"/>
        <v>9.6568388855169776</v>
      </c>
      <c r="Y8">
        <f t="shared" si="19"/>
        <v>7.9614527548328091</v>
      </c>
      <c r="Z8">
        <f t="shared" si="20"/>
        <v>11.652702961714429</v>
      </c>
      <c r="AA8">
        <f t="shared" si="21"/>
        <v>9.0936485334749904</v>
      </c>
      <c r="AB8">
        <f t="shared" si="22"/>
        <v>-2.1272202794618034</v>
      </c>
      <c r="AC8">
        <f t="shared" si="23"/>
        <v>1.5640299274198162</v>
      </c>
      <c r="AD8">
        <f t="shared" si="24"/>
        <v>-0.5631903520419872</v>
      </c>
      <c r="AE8">
        <f t="shared" si="25"/>
        <v>-0.57628720900469277</v>
      </c>
      <c r="AF8">
        <f t="shared" si="26"/>
        <v>0.42371279099530723</v>
      </c>
      <c r="AG8" s="7">
        <f t="shared" si="27"/>
        <v>-0.62548348707549561</v>
      </c>
      <c r="AH8" s="7">
        <f t="shared" si="28"/>
        <v>0.45988415132093852</v>
      </c>
    </row>
    <row r="9" spans="1:34" x14ac:dyDescent="0.3">
      <c r="A9">
        <v>2007</v>
      </c>
      <c r="B9" s="2">
        <v>3055.7898104999995</v>
      </c>
      <c r="C9" s="2">
        <v>16.586238532110091</v>
      </c>
      <c r="D9" s="2">
        <v>3260.8196564999994</v>
      </c>
      <c r="G9">
        <v>2007</v>
      </c>
      <c r="H9">
        <f t="shared" si="4"/>
        <v>16.586238532110091</v>
      </c>
      <c r="I9">
        <f t="shared" si="5"/>
        <v>0.62796919315028421</v>
      </c>
      <c r="J9">
        <f t="shared" si="6"/>
        <v>4866.1460527550025</v>
      </c>
      <c r="K9">
        <f t="shared" si="7"/>
        <v>0.67010312085759605</v>
      </c>
      <c r="L9">
        <f t="shared" si="8"/>
        <v>11.207230385474901</v>
      </c>
      <c r="M9" s="1">
        <f t="shared" si="9"/>
        <v>99.555641747598145</v>
      </c>
      <c r="N9">
        <f t="shared" si="10"/>
        <v>8.8831618806219037</v>
      </c>
      <c r="O9">
        <f t="shared" si="0"/>
        <v>0.67569451408637893</v>
      </c>
      <c r="P9" s="4">
        <f t="shared" si="1"/>
        <v>15.341932524756086</v>
      </c>
      <c r="Q9" s="6">
        <f t="shared" si="11"/>
        <v>5.6096853985951061</v>
      </c>
      <c r="R9" s="6">
        <f t="shared" si="12"/>
        <v>6.2482839912810952</v>
      </c>
      <c r="S9">
        <f t="shared" si="13"/>
        <v>3260.8196564999994</v>
      </c>
      <c r="T9">
        <f t="shared" si="14"/>
        <v>3055.7898104999995</v>
      </c>
      <c r="U9">
        <f t="shared" si="15"/>
        <v>3655.1163011999997</v>
      </c>
      <c r="V9">
        <f t="shared" si="16"/>
        <v>3081.2899382999999</v>
      </c>
      <c r="W9">
        <f t="shared" si="17"/>
        <v>14.212024490359822</v>
      </c>
      <c r="X9">
        <f t="shared" si="18"/>
        <v>10.80810553612972</v>
      </c>
      <c r="Y9">
        <f t="shared" si="19"/>
        <v>15.835952234624596</v>
      </c>
      <c r="Z9">
        <f t="shared" si="20"/>
        <v>10.560085006315784</v>
      </c>
      <c r="AA9">
        <f t="shared" si="21"/>
        <v>15.341932524756086</v>
      </c>
      <c r="AB9">
        <f t="shared" si="22"/>
        <v>4.9048471084675889</v>
      </c>
      <c r="AC9">
        <f t="shared" si="23"/>
        <v>-0.37102011984122285</v>
      </c>
      <c r="AD9">
        <f t="shared" si="24"/>
        <v>4.533826988626366</v>
      </c>
      <c r="AE9">
        <f t="shared" si="25"/>
        <v>0.92967599376829768</v>
      </c>
      <c r="AF9">
        <f t="shared" si="26"/>
        <v>-7.0324006231702305E-2</v>
      </c>
      <c r="AG9" s="7">
        <f t="shared" si="27"/>
        <v>5.215189847666414</v>
      </c>
      <c r="AH9" s="7">
        <f t="shared" si="28"/>
        <v>-0.39449555092869165</v>
      </c>
    </row>
    <row r="10" spans="1:34" x14ac:dyDescent="0.3">
      <c r="A10">
        <v>2008</v>
      </c>
      <c r="B10" s="2">
        <v>3047.1182972999995</v>
      </c>
      <c r="C10" s="2">
        <v>15.537823383084577</v>
      </c>
      <c r="D10" s="2">
        <v>3185.3113529999996</v>
      </c>
      <c r="G10">
        <v>2008</v>
      </c>
      <c r="H10">
        <f t="shared" si="4"/>
        <v>15.537823383084577</v>
      </c>
      <c r="I10">
        <f t="shared" si="5"/>
        <v>0.63479871404836163</v>
      </c>
      <c r="J10">
        <f t="shared" si="6"/>
        <v>4800.1330655938555</v>
      </c>
      <c r="K10">
        <f t="shared" si="7"/>
        <v>0.66358813588554633</v>
      </c>
      <c r="L10">
        <f t="shared" si="8"/>
        <v>11.888071088537231</v>
      </c>
      <c r="M10" s="1">
        <f t="shared" si="9"/>
        <v>105.60365992781726</v>
      </c>
      <c r="N10">
        <f t="shared" si="10"/>
        <v>8.8831618806219037</v>
      </c>
      <c r="O10">
        <f t="shared" si="0"/>
        <v>0.76510530435551971</v>
      </c>
      <c r="P10" s="4">
        <f t="shared" si="1"/>
        <v>15.925315232488355</v>
      </c>
      <c r="Q10" s="6">
        <f t="shared" si="11"/>
        <v>-1.048415149025514</v>
      </c>
      <c r="R10" s="6">
        <f t="shared" si="12"/>
        <v>0.58338270773226952</v>
      </c>
      <c r="S10">
        <f t="shared" si="13"/>
        <v>3185.3113529999996</v>
      </c>
      <c r="T10">
        <f t="shared" si="14"/>
        <v>3047.1182972999995</v>
      </c>
      <c r="U10">
        <f t="shared" si="15"/>
        <v>3260.8196564999994</v>
      </c>
      <c r="V10">
        <f t="shared" si="16"/>
        <v>3055.7898104999995</v>
      </c>
      <c r="W10">
        <f t="shared" si="17"/>
        <v>13.313683269403121</v>
      </c>
      <c r="X10">
        <f t="shared" si="18"/>
        <v>14.734928289977983</v>
      </c>
      <c r="Y10">
        <f t="shared" si="19"/>
        <v>16.101563269831338</v>
      </c>
      <c r="Z10">
        <f t="shared" si="20"/>
        <v>14.5819240641219</v>
      </c>
      <c r="AA10">
        <f t="shared" si="21"/>
        <v>15.925315232488355</v>
      </c>
      <c r="AB10">
        <f t="shared" si="22"/>
        <v>1.3550130741099053</v>
      </c>
      <c r="AC10">
        <f t="shared" si="23"/>
        <v>-0.16462613159953321</v>
      </c>
      <c r="AD10">
        <f t="shared" si="24"/>
        <v>1.1903869425103721</v>
      </c>
      <c r="AE10">
        <f t="shared" si="25"/>
        <v>0.89166762019496726</v>
      </c>
      <c r="AF10">
        <f t="shared" si="26"/>
        <v>-0.10833237980503277</v>
      </c>
      <c r="AG10" s="7">
        <f t="shared" si="27"/>
        <v>-0.93483784090793209</v>
      </c>
      <c r="AH10" s="7">
        <f t="shared" si="28"/>
        <v>0.11357730811758202</v>
      </c>
    </row>
    <row r="11" spans="1:34" x14ac:dyDescent="0.3">
      <c r="A11" s="3">
        <v>2009</v>
      </c>
      <c r="B11" s="2">
        <v>3362.8569113999997</v>
      </c>
      <c r="C11" s="2">
        <v>14.671880341880343</v>
      </c>
      <c r="D11" s="2">
        <v>3513.7265435999998</v>
      </c>
      <c r="G11" s="3">
        <v>2009</v>
      </c>
      <c r="H11">
        <f t="shared" si="4"/>
        <v>14.671880341880343</v>
      </c>
      <c r="I11">
        <f t="shared" si="5"/>
        <v>0.6408577867988976</v>
      </c>
      <c r="J11">
        <f>B11/I11</f>
        <v>5247.4308351585505</v>
      </c>
      <c r="K11">
        <f t="shared" si="7"/>
        <v>0.6696089293940799</v>
      </c>
      <c r="L11">
        <f t="shared" si="8"/>
        <v>11.257252917808932</v>
      </c>
      <c r="M11" s="1">
        <f t="shared" si="9"/>
        <v>100</v>
      </c>
      <c r="N11">
        <f t="shared" si="10"/>
        <v>8.8831618806219037</v>
      </c>
      <c r="O11">
        <f t="shared" si="0"/>
        <v>0.76726722516101131</v>
      </c>
      <c r="P11" s="4">
        <f t="shared" si="1"/>
        <v>15.384794651284931</v>
      </c>
      <c r="Q11" s="6">
        <f t="shared" si="11"/>
        <v>-0.86594304120423438</v>
      </c>
      <c r="R11" s="6">
        <f t="shared" si="12"/>
        <v>-0.54052058120342394</v>
      </c>
      <c r="S11">
        <f t="shared" si="13"/>
        <v>3513.7265435999998</v>
      </c>
      <c r="T11">
        <f t="shared" si="14"/>
        <v>3362.8569113999997</v>
      </c>
      <c r="U11">
        <f t="shared" si="15"/>
        <v>3185.3113529999996</v>
      </c>
      <c r="V11">
        <f t="shared" si="16"/>
        <v>3047.1182972999995</v>
      </c>
      <c r="W11">
        <f t="shared" si="17"/>
        <v>12.571694440228509</v>
      </c>
      <c r="X11">
        <f t="shared" si="18"/>
        <v>15.357615643514318</v>
      </c>
      <c r="Y11">
        <f t="shared" si="19"/>
        <v>11.058344411330992</v>
      </c>
      <c r="Z11">
        <f t="shared" si="20"/>
        <v>23.180811194917272</v>
      </c>
      <c r="AA11">
        <f t="shared" si="21"/>
        <v>15.384794651284931</v>
      </c>
      <c r="AB11">
        <f t="shared" si="22"/>
        <v>-6.0476438879078334</v>
      </c>
      <c r="AC11">
        <f t="shared" si="23"/>
        <v>6.0748228956784462</v>
      </c>
      <c r="AD11">
        <f t="shared" si="24"/>
        <v>2.7179007770612884E-2</v>
      </c>
      <c r="AE11">
        <f t="shared" si="25"/>
        <v>-0.49887898196564195</v>
      </c>
      <c r="AF11">
        <f t="shared" si="26"/>
        <v>0.50112101803435805</v>
      </c>
      <c r="AG11" s="7">
        <f t="shared" si="27"/>
        <v>0.43200078283620041</v>
      </c>
      <c r="AH11" s="7">
        <f t="shared" si="28"/>
        <v>-0.43394225836803396</v>
      </c>
    </row>
    <row r="12" spans="1:34" x14ac:dyDescent="0.3">
      <c r="A12">
        <v>2010</v>
      </c>
      <c r="B12" s="2">
        <v>3281.5798469999995</v>
      </c>
      <c r="C12" s="2">
        <v>17.162303030303033</v>
      </c>
      <c r="D12" s="2">
        <v>3496.6039793999998</v>
      </c>
      <c r="G12">
        <v>2010</v>
      </c>
      <c r="H12">
        <f t="shared" si="4"/>
        <v>17.162303030303033</v>
      </c>
      <c r="I12">
        <f t="shared" si="5"/>
        <v>0.62442748416912197</v>
      </c>
      <c r="J12">
        <f t="shared" si="6"/>
        <v>5255.3417813864289</v>
      </c>
      <c r="K12">
        <f t="shared" si="7"/>
        <v>0.66534283113315407</v>
      </c>
      <c r="L12">
        <f t="shared" si="8"/>
        <v>11.700065770097561</v>
      </c>
      <c r="M12" s="1">
        <f t="shared" si="9"/>
        <v>103.93357824969979</v>
      </c>
      <c r="N12">
        <f t="shared" si="10"/>
        <v>8.8831618806219037</v>
      </c>
      <c r="O12">
        <f t="shared" si="0"/>
        <v>0.68173052004961399</v>
      </c>
      <c r="P12" s="4">
        <f t="shared" si="1"/>
        <v>15.76422167382465</v>
      </c>
      <c r="Q12" s="6">
        <f t="shared" si="11"/>
        <v>2.4904226884226901</v>
      </c>
      <c r="R12" s="6">
        <f t="shared" si="12"/>
        <v>0.37942702253971916</v>
      </c>
      <c r="S12">
        <f t="shared" si="13"/>
        <v>3496.6039793999998</v>
      </c>
      <c r="T12">
        <f t="shared" si="14"/>
        <v>3281.5798469999995</v>
      </c>
      <c r="U12">
        <f t="shared" si="15"/>
        <v>3513.7265435999998</v>
      </c>
      <c r="V12">
        <f t="shared" si="16"/>
        <v>3362.8569113999997</v>
      </c>
      <c r="W12">
        <f t="shared" si="17"/>
        <v>14.705629037315736</v>
      </c>
      <c r="X12">
        <f t="shared" si="18"/>
        <v>17.022092728267129</v>
      </c>
      <c r="Y12">
        <f t="shared" si="19"/>
        <v>17.359765922427965</v>
      </c>
      <c r="Z12">
        <f t="shared" si="20"/>
        <v>15.47291117224826</v>
      </c>
      <c r="AA12">
        <f t="shared" si="21"/>
        <v>15.76422167382465</v>
      </c>
      <c r="AB12">
        <f t="shared" si="22"/>
        <v>0.31449184786861295</v>
      </c>
      <c r="AC12">
        <f t="shared" si="23"/>
        <v>-1.5723629023110917</v>
      </c>
      <c r="AD12">
        <f t="shared" si="24"/>
        <v>-1.2578710544424787</v>
      </c>
      <c r="AE12">
        <f t="shared" si="25"/>
        <v>0.16667517615686139</v>
      </c>
      <c r="AF12">
        <f t="shared" si="26"/>
        <v>-0.83332482384313866</v>
      </c>
      <c r="AG12" s="7">
        <f t="shared" si="27"/>
        <v>0.41509164029789619</v>
      </c>
      <c r="AH12" s="7">
        <f t="shared" si="28"/>
        <v>-2.0753310481247942</v>
      </c>
    </row>
    <row r="13" spans="1:34" x14ac:dyDescent="0.3">
      <c r="A13">
        <v>2011</v>
      </c>
      <c r="B13" s="2">
        <v>3158.9293763999995</v>
      </c>
      <c r="C13" s="2">
        <v>18.3187134502924</v>
      </c>
      <c r="D13" s="2">
        <v>3328.3178333999995</v>
      </c>
      <c r="G13">
        <v>2011</v>
      </c>
      <c r="H13">
        <f t="shared" si="4"/>
        <v>18.3187134502924</v>
      </c>
      <c r="I13">
        <f t="shared" si="5"/>
        <v>0.61771857253080342</v>
      </c>
      <c r="J13">
        <f t="shared" si="6"/>
        <v>5113.8649813584407</v>
      </c>
      <c r="K13">
        <f t="shared" si="7"/>
        <v>0.6508419454820783</v>
      </c>
      <c r="L13">
        <f t="shared" si="8"/>
        <v>13.364644685325501</v>
      </c>
      <c r="M13" s="1">
        <f t="shared" si="9"/>
        <v>118.72030221673961</v>
      </c>
      <c r="N13">
        <f t="shared" si="10"/>
        <v>8.8831618806219037</v>
      </c>
      <c r="O13">
        <f t="shared" si="0"/>
        <v>0.7295624074032443</v>
      </c>
      <c r="P13" s="4">
        <f t="shared" si="1"/>
        <v>17.190526755809188</v>
      </c>
      <c r="Q13" s="6">
        <f t="shared" si="11"/>
        <v>1.156410419989367</v>
      </c>
      <c r="R13" s="6">
        <f t="shared" si="12"/>
        <v>1.4263050819845375</v>
      </c>
      <c r="S13">
        <f t="shared" si="13"/>
        <v>3328.3178333999995</v>
      </c>
      <c r="T13">
        <f t="shared" si="14"/>
        <v>3158.9293763999995</v>
      </c>
      <c r="U13">
        <f t="shared" si="15"/>
        <v>3496.6039793999998</v>
      </c>
      <c r="V13">
        <f t="shared" si="16"/>
        <v>3281.5798469999995</v>
      </c>
      <c r="W13">
        <f t="shared" si="17"/>
        <v>15.696506696405168</v>
      </c>
      <c r="X13">
        <f t="shared" si="18"/>
        <v>16.439733215661231</v>
      </c>
      <c r="Y13">
        <f t="shared" si="19"/>
        <v>20.151065068463193</v>
      </c>
      <c r="Z13">
        <f t="shared" si="20"/>
        <v>14.241576877528335</v>
      </c>
      <c r="AA13">
        <f t="shared" si="21"/>
        <v>17.190526755809188</v>
      </c>
      <c r="AB13">
        <f t="shared" si="22"/>
        <v>3.3301408655414075</v>
      </c>
      <c r="AC13">
        <f t="shared" si="23"/>
        <v>-2.5793473253934511</v>
      </c>
      <c r="AD13">
        <f t="shared" si="24"/>
        <v>0.75079354014795641</v>
      </c>
      <c r="AE13">
        <f t="shared" si="25"/>
        <v>0.56352441327318936</v>
      </c>
      <c r="AF13">
        <f t="shared" si="26"/>
        <v>-0.43647558672681064</v>
      </c>
      <c r="AG13" s="7">
        <f t="shared" si="27"/>
        <v>0.65166550342751051</v>
      </c>
      <c r="AH13" s="7">
        <f t="shared" si="28"/>
        <v>-0.50474491656185649</v>
      </c>
    </row>
    <row r="14" spans="1:34" x14ac:dyDescent="0.3">
      <c r="A14">
        <v>2012</v>
      </c>
      <c r="B14" s="2">
        <v>3111.4197722999997</v>
      </c>
      <c r="C14" s="2">
        <v>20.597260273972605</v>
      </c>
      <c r="D14" s="2">
        <v>3251.9644247999995</v>
      </c>
      <c r="G14">
        <v>2012</v>
      </c>
      <c r="H14">
        <f t="shared" si="4"/>
        <v>20.597260273972605</v>
      </c>
      <c r="I14">
        <f t="shared" si="5"/>
        <v>0.605837622240742</v>
      </c>
      <c r="J14">
        <f t="shared" si="6"/>
        <v>5135.7321798407784</v>
      </c>
      <c r="K14">
        <f t="shared" si="7"/>
        <v>0.63320366228692615</v>
      </c>
      <c r="L14">
        <f t="shared" si="8"/>
        <v>15.77559678038596</v>
      </c>
      <c r="M14" s="1">
        <f t="shared" si="9"/>
        <v>140.13717996358619</v>
      </c>
      <c r="N14">
        <f t="shared" si="10"/>
        <v>8.8831618806219037</v>
      </c>
      <c r="O14">
        <f t="shared" si="0"/>
        <v>0.76590753190221783</v>
      </c>
      <c r="P14" s="4">
        <f t="shared" si="1"/>
        <v>19.256366467070364</v>
      </c>
      <c r="Q14" s="6">
        <f t="shared" si="11"/>
        <v>2.2785468236802053</v>
      </c>
      <c r="R14" s="6">
        <f t="shared" si="12"/>
        <v>2.0658397112611766</v>
      </c>
      <c r="S14">
        <f t="shared" si="13"/>
        <v>3251.9644247999995</v>
      </c>
      <c r="T14">
        <f t="shared" si="14"/>
        <v>3111.4197722999997</v>
      </c>
      <c r="U14">
        <f t="shared" si="15"/>
        <v>3328.3178333999995</v>
      </c>
      <c r="V14">
        <f t="shared" si="16"/>
        <v>3158.9293763999995</v>
      </c>
      <c r="W14">
        <f t="shared" si="17"/>
        <v>17.648894104670358</v>
      </c>
      <c r="X14">
        <f t="shared" si="18"/>
        <v>18.61491521356692</v>
      </c>
      <c r="Y14">
        <f t="shared" si="19"/>
        <v>20.55122848018474</v>
      </c>
      <c r="Z14">
        <f t="shared" si="20"/>
        <v>17.489322077167284</v>
      </c>
      <c r="AA14">
        <f t="shared" si="21"/>
        <v>19.256366467070364</v>
      </c>
      <c r="AB14">
        <f t="shared" si="22"/>
        <v>1.8516788282604502</v>
      </c>
      <c r="AC14">
        <f t="shared" si="23"/>
        <v>-1.2102275747570062</v>
      </c>
      <c r="AD14">
        <f t="shared" si="24"/>
        <v>0.64145125350344401</v>
      </c>
      <c r="AE14">
        <f t="shared" si="25"/>
        <v>0.60474703813142439</v>
      </c>
      <c r="AF14">
        <f t="shared" si="26"/>
        <v>-0.39525296186857561</v>
      </c>
      <c r="AG14" s="7">
        <f t="shared" si="27"/>
        <v>1.377944442864369</v>
      </c>
      <c r="AH14" s="7">
        <f t="shared" si="28"/>
        <v>-0.90060238081583632</v>
      </c>
    </row>
    <row r="15" spans="1:34" x14ac:dyDescent="0.3">
      <c r="A15">
        <v>2013</v>
      </c>
      <c r="B15" s="2">
        <v>3477.3135368999997</v>
      </c>
      <c r="C15" s="2">
        <v>18.322834645669289</v>
      </c>
      <c r="D15" s="2">
        <v>3569.3197616999996</v>
      </c>
      <c r="G15">
        <v>2013</v>
      </c>
      <c r="H15">
        <f t="shared" si="4"/>
        <v>18.322834645669289</v>
      </c>
      <c r="I15">
        <f t="shared" si="5"/>
        <v>0.61769555409583488</v>
      </c>
      <c r="J15">
        <f t="shared" si="6"/>
        <v>5629.4941963601987</v>
      </c>
      <c r="K15">
        <f t="shared" si="7"/>
        <v>0.63403915826181612</v>
      </c>
      <c r="L15">
        <f t="shared" si="8"/>
        <v>15.650525025334103</v>
      </c>
      <c r="M15" s="1">
        <f t="shared" si="9"/>
        <v>139.02614731676704</v>
      </c>
      <c r="N15">
        <f t="shared" si="10"/>
        <v>8.8831618806219037</v>
      </c>
      <c r="O15">
        <f t="shared" si="0"/>
        <v>0.85415413760955317</v>
      </c>
      <c r="P15" s="4">
        <f t="shared" si="1"/>
        <v>19.1491979344095</v>
      </c>
      <c r="Q15" s="6">
        <f t="shared" si="11"/>
        <v>-2.274425628303316</v>
      </c>
      <c r="R15" s="6">
        <f t="shared" si="12"/>
        <v>-0.10716853266086446</v>
      </c>
      <c r="S15">
        <f t="shared" si="13"/>
        <v>3569.3197616999996</v>
      </c>
      <c r="T15">
        <f t="shared" si="14"/>
        <v>3477.3135368999997</v>
      </c>
      <c r="U15">
        <f t="shared" si="15"/>
        <v>3251.9644247999995</v>
      </c>
      <c r="V15">
        <f t="shared" si="16"/>
        <v>3111.4197722999997</v>
      </c>
      <c r="W15">
        <f t="shared" si="17"/>
        <v>15.700037969002782</v>
      </c>
      <c r="X15">
        <f t="shared" si="18"/>
        <v>17.763722874168721</v>
      </c>
      <c r="Y15">
        <f t="shared" si="19"/>
        <v>12.593234890460096</v>
      </c>
      <c r="Z15">
        <f t="shared" si="20"/>
        <v>29.26513342111226</v>
      </c>
      <c r="AA15">
        <f t="shared" si="21"/>
        <v>19.1491979344095</v>
      </c>
      <c r="AB15">
        <f t="shared" si="22"/>
        <v>-7.6432117352056927</v>
      </c>
      <c r="AC15">
        <f t="shared" si="23"/>
        <v>9.0286867954464718</v>
      </c>
      <c r="AD15">
        <f t="shared" si="24"/>
        <v>1.385475060240779</v>
      </c>
      <c r="AE15">
        <f t="shared" si="25"/>
        <v>-0.45844879160902069</v>
      </c>
      <c r="AF15">
        <f t="shared" si="26"/>
        <v>0.54155120839097926</v>
      </c>
      <c r="AG15" s="7">
        <f t="shared" si="27"/>
        <v>1.0427076809002429</v>
      </c>
      <c r="AH15" s="7">
        <f t="shared" si="28"/>
        <v>-1.2317179474030731</v>
      </c>
    </row>
    <row r="16" spans="1:34" x14ac:dyDescent="0.3">
      <c r="A16">
        <v>2014</v>
      </c>
      <c r="B16" s="2">
        <v>3862.6814624999997</v>
      </c>
      <c r="C16" s="2">
        <v>13.922222222222222</v>
      </c>
      <c r="D16" s="2">
        <v>4053.3077780999993</v>
      </c>
      <c r="G16">
        <v>2014</v>
      </c>
      <c r="H16">
        <f t="shared" si="4"/>
        <v>13.922222222222222</v>
      </c>
      <c r="I16">
        <f t="shared" si="5"/>
        <v>0.64644994947555356</v>
      </c>
      <c r="J16">
        <f t="shared" si="6"/>
        <v>5975.2212304041223</v>
      </c>
      <c r="K16">
        <f t="shared" si="7"/>
        <v>0.67835275411649687</v>
      </c>
      <c r="L16">
        <f t="shared" si="8"/>
        <v>10.409276811129391</v>
      </c>
      <c r="M16" s="1">
        <f t="shared" si="9"/>
        <v>92.467290973466135</v>
      </c>
      <c r="N16">
        <f t="shared" si="10"/>
        <v>8.8831618806219037</v>
      </c>
      <c r="O16">
        <f t="shared" si="0"/>
        <v>0.74767351396779413</v>
      </c>
      <c r="P16" s="4">
        <f t="shared" si="1"/>
        <v>14.658200904786089</v>
      </c>
      <c r="Q16" s="6">
        <f t="shared" si="11"/>
        <v>-4.4006124234470665</v>
      </c>
      <c r="R16" s="6">
        <f t="shared" si="12"/>
        <v>-4.4909970296234114</v>
      </c>
      <c r="S16">
        <f t="shared" si="13"/>
        <v>4053.3077780999993</v>
      </c>
      <c r="T16">
        <f t="shared" si="14"/>
        <v>3862.6814624999997</v>
      </c>
      <c r="U16">
        <f t="shared" si="15"/>
        <v>3569.3197616999996</v>
      </c>
      <c r="V16">
        <f t="shared" si="16"/>
        <v>3477.3135368999997</v>
      </c>
      <c r="W16">
        <f t="shared" si="17"/>
        <v>11.929345089267926</v>
      </c>
      <c r="X16">
        <f t="shared" si="18"/>
        <v>15.928445009529092</v>
      </c>
      <c r="Y16">
        <f t="shared" si="19"/>
        <v>10.468189111542529</v>
      </c>
      <c r="Z16">
        <f t="shared" si="20"/>
        <v>24.956130370008108</v>
      </c>
      <c r="AA16">
        <f t="shared" si="21"/>
        <v>14.658200904786089</v>
      </c>
      <c r="AB16">
        <f t="shared" si="22"/>
        <v>-7.8790926816042912</v>
      </c>
      <c r="AC16">
        <f t="shared" si="23"/>
        <v>6.6088485768612877</v>
      </c>
      <c r="AD16">
        <f t="shared" si="24"/>
        <v>-1.2702441047430035</v>
      </c>
      <c r="AE16">
        <f t="shared" si="25"/>
        <v>-0.54383797815306489</v>
      </c>
      <c r="AF16">
        <f t="shared" si="26"/>
        <v>0.45616202184693511</v>
      </c>
      <c r="AG16" s="7">
        <f t="shared" si="27"/>
        <v>2.3932201630027117</v>
      </c>
      <c r="AH16" s="7">
        <f t="shared" si="28"/>
        <v>-2.0073922604443548</v>
      </c>
    </row>
    <row r="17" spans="1:34" x14ac:dyDescent="0.3">
      <c r="A17">
        <v>2015</v>
      </c>
      <c r="B17" s="2">
        <v>3944.2157327999998</v>
      </c>
      <c r="C17" s="2">
        <v>12.110529157667388</v>
      </c>
      <c r="D17" s="2">
        <v>4140.9415025999997</v>
      </c>
      <c r="G17">
        <v>2015</v>
      </c>
      <c r="H17">
        <f t="shared" si="4"/>
        <v>12.110529157667388</v>
      </c>
      <c r="I17">
        <f t="shared" si="5"/>
        <v>0.66155320159704767</v>
      </c>
      <c r="J17">
        <f t="shared" si="6"/>
        <v>5962.0537294329706</v>
      </c>
      <c r="K17">
        <f t="shared" si="7"/>
        <v>0.69454951104471674</v>
      </c>
      <c r="L17">
        <f t="shared" si="8"/>
        <v>9.0273582844634568</v>
      </c>
      <c r="M17" s="1">
        <f t="shared" si="9"/>
        <v>80.191484995262115</v>
      </c>
      <c r="N17">
        <f t="shared" si="10"/>
        <v>8.8831618806219037</v>
      </c>
      <c r="O17">
        <f t="shared" si="0"/>
        <v>0.74541402501376919</v>
      </c>
      <c r="P17" s="4">
        <f t="shared" si="1"/>
        <v>13.474095183248528</v>
      </c>
      <c r="Q17" s="6">
        <f t="shared" si="11"/>
        <v>-1.8116930645548344</v>
      </c>
      <c r="R17" s="6">
        <f t="shared" si="12"/>
        <v>-1.184105721537561</v>
      </c>
      <c r="S17">
        <f t="shared" si="13"/>
        <v>4140.9415025999997</v>
      </c>
      <c r="T17">
        <f t="shared" si="14"/>
        <v>3944.2157327999998</v>
      </c>
      <c r="U17">
        <f t="shared" si="15"/>
        <v>4053.3077780999993</v>
      </c>
      <c r="V17">
        <f t="shared" si="16"/>
        <v>3862.6814624999997</v>
      </c>
      <c r="W17">
        <f t="shared" si="17"/>
        <v>10.376984308213084</v>
      </c>
      <c r="X17">
        <f t="shared" si="18"/>
        <v>13.497541864669024</v>
      </c>
      <c r="Y17">
        <f t="shared" si="19"/>
        <v>12.557728786632932</v>
      </c>
      <c r="Z17">
        <f t="shared" si="20"/>
        <v>14.540208378620157</v>
      </c>
      <c r="AA17">
        <f t="shared" si="21"/>
        <v>13.474095183248528</v>
      </c>
      <c r="AB17">
        <f t="shared" si="22"/>
        <v>-1.0029631367038609</v>
      </c>
      <c r="AC17">
        <f t="shared" si="23"/>
        <v>0.97951645528336417</v>
      </c>
      <c r="AD17">
        <f t="shared" si="24"/>
        <v>-2.3446681420496773E-2</v>
      </c>
      <c r="AE17">
        <f t="shared" si="25"/>
        <v>-0.50591347359016037</v>
      </c>
      <c r="AF17">
        <f t="shared" si="26"/>
        <v>0.49408652640983963</v>
      </c>
      <c r="AG17" s="7">
        <f t="shared" si="27"/>
        <v>0.91655993136813885</v>
      </c>
      <c r="AH17" s="7">
        <f t="shared" si="28"/>
        <v>-0.89513313318669552</v>
      </c>
    </row>
    <row r="18" spans="1:34" x14ac:dyDescent="0.3">
      <c r="A18">
        <v>2016</v>
      </c>
      <c r="B18" s="2">
        <v>4213.8777470999994</v>
      </c>
      <c r="C18" s="2">
        <v>12.772777179763187</v>
      </c>
      <c r="D18" s="2">
        <v>4515.4700366999996</v>
      </c>
      <c r="G18">
        <v>2016</v>
      </c>
      <c r="H18">
        <f t="shared" si="4"/>
        <v>12.772777179763187</v>
      </c>
      <c r="I18">
        <f t="shared" si="5"/>
        <v>0.65574408659295658</v>
      </c>
      <c r="J18">
        <f t="shared" si="6"/>
        <v>6426.1010251636499</v>
      </c>
      <c r="K18">
        <f t="shared" si="7"/>
        <v>0.70267647816585743</v>
      </c>
      <c r="L18">
        <f t="shared" si="8"/>
        <v>8.4151714857819435</v>
      </c>
      <c r="M18" s="1">
        <f t="shared" si="9"/>
        <v>74.753330561394549</v>
      </c>
      <c r="N18">
        <f t="shared" si="10"/>
        <v>8.8831618806219037</v>
      </c>
      <c r="O18">
        <f t="shared" si="0"/>
        <v>0.65883647442896742</v>
      </c>
      <c r="P18" s="4">
        <f t="shared" si="1"/>
        <v>12.949539012258157</v>
      </c>
      <c r="Q18" s="6">
        <f t="shared" si="11"/>
        <v>0.66224802209579892</v>
      </c>
      <c r="R18" s="6">
        <f t="shared" si="12"/>
        <v>-0.52455617099037077</v>
      </c>
      <c r="S18">
        <f t="shared" si="13"/>
        <v>4515.4700366999996</v>
      </c>
      <c r="T18">
        <f t="shared" si="14"/>
        <v>4213.8777470999994</v>
      </c>
      <c r="U18">
        <f t="shared" si="15"/>
        <v>4140.9415025999997</v>
      </c>
      <c r="V18">
        <f t="shared" si="16"/>
        <v>3944.2157327999998</v>
      </c>
      <c r="W18">
        <f t="shared" si="17"/>
        <v>10.944435758431705</v>
      </c>
      <c r="X18">
        <f t="shared" si="18"/>
        <v>13.897081452755891</v>
      </c>
      <c r="Y18">
        <f t="shared" si="19"/>
        <v>10.576152608989336</v>
      </c>
      <c r="Z18">
        <f t="shared" si="20"/>
        <v>17.899888977712337</v>
      </c>
      <c r="AA18">
        <f t="shared" si="21"/>
        <v>12.949539012258157</v>
      </c>
      <c r="AB18">
        <f t="shared" si="22"/>
        <v>-4.1356394046103677</v>
      </c>
      <c r="AC18">
        <f t="shared" si="23"/>
        <v>3.1880969641126331</v>
      </c>
      <c r="AD18">
        <f t="shared" si="24"/>
        <v>-0.94754244049773462</v>
      </c>
      <c r="AE18">
        <f t="shared" si="25"/>
        <v>-0.56468982448251015</v>
      </c>
      <c r="AF18">
        <f t="shared" si="26"/>
        <v>0.43531017551748985</v>
      </c>
      <c r="AG18" s="7">
        <f t="shared" si="27"/>
        <v>-0.37396471936116621</v>
      </c>
      <c r="AH18" s="7">
        <f t="shared" si="28"/>
        <v>0.28828330273463271</v>
      </c>
    </row>
    <row r="19" spans="1:34" x14ac:dyDescent="0.3">
      <c r="A19">
        <v>2017</v>
      </c>
      <c r="B19" s="2">
        <v>4296.9552527999995</v>
      </c>
      <c r="C19" s="2">
        <v>12.476510138740661</v>
      </c>
      <c r="D19" s="2">
        <v>4735.0503878999998</v>
      </c>
      <c r="G19">
        <v>2017</v>
      </c>
      <c r="H19">
        <f t="shared" si="4"/>
        <v>12.476510138740661</v>
      </c>
      <c r="I19">
        <f t="shared" si="5"/>
        <v>0.6582984156947107</v>
      </c>
      <c r="J19">
        <f t="shared" si="6"/>
        <v>6527.3668451189687</v>
      </c>
      <c r="K19">
        <f t="shared" si="7"/>
        <v>0.7254150870102809</v>
      </c>
      <c r="L19">
        <f t="shared" si="8"/>
        <v>6.9433801311205023</v>
      </c>
      <c r="M19" s="1">
        <f t="shared" si="9"/>
        <v>61.679169703437161</v>
      </c>
      <c r="N19">
        <f t="shared" si="10"/>
        <v>8.8831618806219037</v>
      </c>
      <c r="O19">
        <f t="shared" si="0"/>
        <v>0.55651620957375703</v>
      </c>
      <c r="P19" s="4">
        <f t="shared" si="1"/>
        <v>11.688425183667434</v>
      </c>
      <c r="Q19" s="6">
        <f t="shared" si="11"/>
        <v>-0.2962670410225261</v>
      </c>
      <c r="R19" s="6">
        <f t="shared" si="12"/>
        <v>-1.2611138285907231</v>
      </c>
      <c r="S19">
        <f t="shared" si="13"/>
        <v>4735.0503878999998</v>
      </c>
      <c r="T19">
        <f t="shared" si="14"/>
        <v>4296.9552527999995</v>
      </c>
      <c r="U19">
        <f t="shared" si="15"/>
        <v>4515.4700366999996</v>
      </c>
      <c r="V19">
        <f t="shared" si="16"/>
        <v>4213.8777470999994</v>
      </c>
      <c r="W19">
        <f t="shared" si="17"/>
        <v>10.690577450862621</v>
      </c>
      <c r="X19">
        <f t="shared" si="18"/>
        <v>12.782287899894836</v>
      </c>
      <c r="Y19">
        <f t="shared" si="19"/>
        <v>11.027000911532634</v>
      </c>
      <c r="Z19">
        <f t="shared" si="20"/>
        <v>13.663261578693739</v>
      </c>
      <c r="AA19">
        <f t="shared" si="21"/>
        <v>11.688425183667434</v>
      </c>
      <c r="AB19">
        <f t="shared" si="22"/>
        <v>-1.8650616916942537</v>
      </c>
      <c r="AC19">
        <f t="shared" si="23"/>
        <v>0.77119897546685134</v>
      </c>
      <c r="AD19">
        <f t="shared" si="24"/>
        <v>-1.0938627162274024</v>
      </c>
      <c r="AE19">
        <f t="shared" si="25"/>
        <v>-0.70746482505566188</v>
      </c>
      <c r="AF19">
        <f t="shared" si="26"/>
        <v>0.29253517494433812</v>
      </c>
      <c r="AG19" s="7">
        <f t="shared" si="27"/>
        <v>0.20959851034676003</v>
      </c>
      <c r="AH19" s="7">
        <f t="shared" si="28"/>
        <v>-8.6668530675766076E-2</v>
      </c>
    </row>
    <row r="20" spans="1:34" x14ac:dyDescent="0.3">
      <c r="A20">
        <v>2018</v>
      </c>
      <c r="B20" s="2">
        <v>3955.2755864999995</v>
      </c>
      <c r="C20" s="2">
        <v>11.184673684210527</v>
      </c>
      <c r="D20" s="2">
        <v>4880.3349776999994</v>
      </c>
      <c r="G20">
        <v>2018</v>
      </c>
      <c r="H20">
        <f t="shared" si="4"/>
        <v>11.184673684210527</v>
      </c>
      <c r="I20">
        <f t="shared" si="5"/>
        <v>0.67032680884401552</v>
      </c>
      <c r="J20">
        <f t="shared" si="6"/>
        <v>5900.5182760345015</v>
      </c>
      <c r="K20">
        <f t="shared" si="7"/>
        <v>0.82710276443374975</v>
      </c>
      <c r="L20">
        <f t="shared" si="8"/>
        <v>3.1452367526015541</v>
      </c>
      <c r="M20" s="1">
        <f t="shared" si="9"/>
        <v>27.939647226241149</v>
      </c>
      <c r="N20">
        <f t="shared" si="10"/>
        <v>8.8831618806219037</v>
      </c>
      <c r="O20">
        <f t="shared" si="0"/>
        <v>0.28120952308530045</v>
      </c>
      <c r="P20" s="4">
        <f t="shared" si="1"/>
        <v>8.4339617555123283</v>
      </c>
      <c r="Q20" s="6">
        <f t="shared" si="11"/>
        <v>-1.2918364545301344</v>
      </c>
      <c r="R20" s="6">
        <f t="shared" si="12"/>
        <v>-3.2544634281551055</v>
      </c>
      <c r="S20">
        <f t="shared" si="13"/>
        <v>4880.3349776999994</v>
      </c>
      <c r="T20">
        <f t="shared" si="14"/>
        <v>3955.2755864999995</v>
      </c>
      <c r="U20">
        <f t="shared" si="15"/>
        <v>4735.0503878999998</v>
      </c>
      <c r="V20">
        <f t="shared" si="16"/>
        <v>4296.9552527999995</v>
      </c>
      <c r="W20">
        <f t="shared" si="17"/>
        <v>9.5836591285571373</v>
      </c>
      <c r="X20">
        <f t="shared" si="18"/>
        <v>11.072407194630244</v>
      </c>
      <c r="Y20">
        <f t="shared" si="19"/>
        <v>10.183004118559914</v>
      </c>
      <c r="Z20">
        <f t="shared" si="20"/>
        <v>8.9733236178433984</v>
      </c>
      <c r="AA20">
        <f t="shared" si="21"/>
        <v>8.4339617555123283</v>
      </c>
      <c r="AB20">
        <f t="shared" si="22"/>
        <v>-0.71438246920070014</v>
      </c>
      <c r="AC20">
        <f t="shared" si="23"/>
        <v>-1.924062969917216</v>
      </c>
      <c r="AD20">
        <f t="shared" si="24"/>
        <v>-2.6384454391179162</v>
      </c>
      <c r="AE20">
        <f t="shared" si="25"/>
        <v>-0.27075885618447054</v>
      </c>
      <c r="AF20">
        <f t="shared" si="26"/>
        <v>-0.7292411438155294</v>
      </c>
      <c r="AG20" s="7">
        <f t="shared" si="27"/>
        <v>0.34977616080598101</v>
      </c>
      <c r="AH20" s="7">
        <f t="shared" si="28"/>
        <v>0.94206029372415334</v>
      </c>
    </row>
    <row r="21" spans="1:34" x14ac:dyDescent="0.3">
      <c r="A21">
        <v>2019</v>
      </c>
      <c r="B21" s="2">
        <v>3952.9607333999998</v>
      </c>
      <c r="C21" s="2">
        <v>11.093192148760332</v>
      </c>
      <c r="D21" s="2">
        <v>4491.5131442999991</v>
      </c>
      <c r="G21">
        <v>2019</v>
      </c>
      <c r="H21">
        <f t="shared" si="4"/>
        <v>11.093192148760332</v>
      </c>
      <c r="I21">
        <f t="shared" si="5"/>
        <v>0.67123942508257217</v>
      </c>
      <c r="J21">
        <f t="shared" si="6"/>
        <v>5889.0473140991808</v>
      </c>
      <c r="K21">
        <f t="shared" si="7"/>
        <v>0.76268926105360124</v>
      </c>
      <c r="L21">
        <f t="shared" si="8"/>
        <v>5.1310953875620955</v>
      </c>
      <c r="M21" s="1">
        <f t="shared" si="9"/>
        <v>45.580350952626475</v>
      </c>
      <c r="N21">
        <f t="shared" si="10"/>
        <v>8.8831618806219037</v>
      </c>
      <c r="O21">
        <f t="shared" si="0"/>
        <v>0.46254453350792246</v>
      </c>
      <c r="P21" s="4">
        <f t="shared" si="1"/>
        <v>10.135557418676909</v>
      </c>
      <c r="Q21" s="6">
        <f t="shared" si="11"/>
        <v>-9.1481535450194329E-2</v>
      </c>
      <c r="R21" s="6">
        <f t="shared" si="12"/>
        <v>1.7015956631645803</v>
      </c>
      <c r="S21">
        <f t="shared" si="13"/>
        <v>4491.5131442999991</v>
      </c>
      <c r="T21">
        <f t="shared" si="14"/>
        <v>3952.9607333999998</v>
      </c>
      <c r="U21">
        <f t="shared" si="15"/>
        <v>4880.3349776999994</v>
      </c>
      <c r="V21">
        <f t="shared" si="16"/>
        <v>3955.2755864999995</v>
      </c>
      <c r="W21">
        <f t="shared" si="17"/>
        <v>9.5052725902400343</v>
      </c>
      <c r="X21">
        <f t="shared" si="18"/>
        <v>8.4119187144558687</v>
      </c>
      <c r="Y21">
        <f t="shared" si="19"/>
        <v>10.151122296243585</v>
      </c>
      <c r="Z21">
        <f t="shared" si="20"/>
        <v>8.4024892417755552</v>
      </c>
      <c r="AA21">
        <f t="shared" si="21"/>
        <v>10.135557418676909</v>
      </c>
      <c r="AB21">
        <f t="shared" si="22"/>
        <v>1.7361358793445349</v>
      </c>
      <c r="AC21">
        <f t="shared" si="23"/>
        <v>-1.2497175123495019E-2</v>
      </c>
      <c r="AD21">
        <f t="shared" si="24"/>
        <v>1.7236387042210399</v>
      </c>
      <c r="AE21">
        <f t="shared" si="25"/>
        <v>0.9928531746031205</v>
      </c>
      <c r="AF21">
        <f t="shared" si="26"/>
        <v>-7.1468253968794589E-3</v>
      </c>
      <c r="AG21" s="7">
        <f t="shared" si="27"/>
        <v>-9.0827732889293342E-2</v>
      </c>
      <c r="AH21" s="7">
        <f t="shared" si="28"/>
        <v>6.5380256090097734E-4</v>
      </c>
    </row>
    <row r="22" spans="1:34" x14ac:dyDescent="0.3">
      <c r="A22">
        <v>2020</v>
      </c>
      <c r="B22" s="2">
        <v>4517.6746586999998</v>
      </c>
      <c r="C22" s="2">
        <v>13.532400000000003</v>
      </c>
      <c r="D22" s="2">
        <v>4774.6600964999998</v>
      </c>
      <c r="G22">
        <v>2020</v>
      </c>
      <c r="H22">
        <f t="shared" si="4"/>
        <v>13.532400000000003</v>
      </c>
      <c r="I22">
        <f t="shared" si="5"/>
        <v>0.64949841327995983</v>
      </c>
      <c r="J22">
        <f t="shared" si="6"/>
        <v>6955.6361745147187</v>
      </c>
      <c r="K22">
        <f t="shared" si="7"/>
        <v>0.68644477323213626</v>
      </c>
      <c r="L22">
        <f t="shared" si="8"/>
        <v>9.6901936049484707</v>
      </c>
      <c r="M22" s="1">
        <f t="shared" si="9"/>
        <v>86.079558447324402</v>
      </c>
      <c r="N22">
        <f t="shared" si="10"/>
        <v>8.8831618806219037</v>
      </c>
      <c r="O22">
        <f t="shared" si="0"/>
        <v>0.71607354238335186</v>
      </c>
      <c r="P22" s="4">
        <f t="shared" si="1"/>
        <v>14.042049863845424</v>
      </c>
      <c r="Q22" s="6">
        <f t="shared" si="11"/>
        <v>2.4392078512396704</v>
      </c>
      <c r="R22" s="6">
        <f t="shared" si="12"/>
        <v>3.9064924451685155</v>
      </c>
      <c r="S22">
        <f t="shared" si="13"/>
        <v>4774.6600964999998</v>
      </c>
      <c r="T22">
        <f t="shared" si="14"/>
        <v>4517.6746586999998</v>
      </c>
      <c r="U22">
        <f t="shared" si="15"/>
        <v>4491.5131442999991</v>
      </c>
      <c r="V22">
        <f t="shared" si="16"/>
        <v>3952.9607333999998</v>
      </c>
      <c r="W22">
        <f t="shared" si="17"/>
        <v>11.595323426768426</v>
      </c>
      <c r="X22">
        <f t="shared" si="18"/>
        <v>11.102299007866776</v>
      </c>
      <c r="Y22">
        <f t="shared" si="19"/>
        <v>9.447189425060035</v>
      </c>
      <c r="Z22">
        <f t="shared" si="20"/>
        <v>17.747994770558474</v>
      </c>
      <c r="AA22">
        <f t="shared" si="21"/>
        <v>14.042049863845424</v>
      </c>
      <c r="AB22">
        <f t="shared" si="22"/>
        <v>-2.6805272447598956</v>
      </c>
      <c r="AC22">
        <f t="shared" si="23"/>
        <v>5.6202781007385436</v>
      </c>
      <c r="AD22">
        <f t="shared" si="24"/>
        <v>2.939750855978648</v>
      </c>
      <c r="AE22">
        <f t="shared" si="25"/>
        <v>-0.32292375657424088</v>
      </c>
      <c r="AF22">
        <f t="shared" si="26"/>
        <v>0.67707624342575912</v>
      </c>
      <c r="AG22" s="7">
        <f t="shared" si="27"/>
        <v>-0.7876781623876965</v>
      </c>
      <c r="AH22" s="7">
        <f t="shared" si="28"/>
        <v>1.6515296888519739</v>
      </c>
    </row>
    <row r="23" spans="1:34" x14ac:dyDescent="0.3">
      <c r="A23">
        <v>2021</v>
      </c>
      <c r="B23" s="2">
        <v>4463.0000330999992</v>
      </c>
      <c r="C23" s="2">
        <v>16.054816955684011</v>
      </c>
      <c r="D23" s="2">
        <v>4737.4019847</v>
      </c>
      <c r="G23">
        <v>2021</v>
      </c>
      <c r="H23">
        <f t="shared" si="4"/>
        <v>16.054816955684011</v>
      </c>
      <c r="I23">
        <f t="shared" si="5"/>
        <v>0.63136597363496949</v>
      </c>
      <c r="J23">
        <f t="shared" si="6"/>
        <v>7068.8003780202562</v>
      </c>
      <c r="K23">
        <f t="shared" si="7"/>
        <v>0.6701847175413933</v>
      </c>
      <c r="L23">
        <f t="shared" si="8"/>
        <v>11.198996035992925</v>
      </c>
      <c r="M23" s="1">
        <f t="shared" si="9"/>
        <v>99.482494688168146</v>
      </c>
      <c r="N23">
        <f t="shared" si="10"/>
        <v>8.8831618806219037</v>
      </c>
      <c r="O23">
        <f t="shared" si="0"/>
        <v>0.69754741314743207</v>
      </c>
      <c r="P23" s="4">
        <f t="shared" si="1"/>
        <v>15.334876869775986</v>
      </c>
      <c r="Q23" s="6">
        <f t="shared" si="11"/>
        <v>2.5224169556840081</v>
      </c>
      <c r="R23" s="6">
        <f t="shared" si="12"/>
        <v>1.2928270059305618</v>
      </c>
      <c r="S23">
        <f t="shared" si="13"/>
        <v>4737.4019847</v>
      </c>
      <c r="T23">
        <f t="shared" si="14"/>
        <v>4463.0000330999992</v>
      </c>
      <c r="U23">
        <f t="shared" si="15"/>
        <v>4774.6600964999998</v>
      </c>
      <c r="V23">
        <f t="shared" si="16"/>
        <v>4517.6746586999998</v>
      </c>
      <c r="W23">
        <f t="shared" si="17"/>
        <v>13.756672516236716</v>
      </c>
      <c r="X23">
        <f t="shared" si="18"/>
        <v>15.589734762668012</v>
      </c>
      <c r="Y23">
        <f t="shared" si="19"/>
        <v>16.066763801666362</v>
      </c>
      <c r="Z23">
        <f t="shared" si="20"/>
        <v>14.891652774960033</v>
      </c>
      <c r="AA23">
        <f t="shared" si="21"/>
        <v>15.334876869775986</v>
      </c>
      <c r="AB23">
        <f t="shared" si="22"/>
        <v>0.46012656690715126</v>
      </c>
      <c r="AC23">
        <f t="shared" si="23"/>
        <v>-0.71498445979917769</v>
      </c>
      <c r="AD23">
        <f t="shared" si="24"/>
        <v>-0.25485789289202643</v>
      </c>
      <c r="AE23">
        <f t="shared" si="25"/>
        <v>0.39156007938826115</v>
      </c>
      <c r="AF23">
        <f t="shared" si="26"/>
        <v>-0.60843992061173879</v>
      </c>
      <c r="AG23" s="7">
        <f t="shared" si="27"/>
        <v>0.98767778341792622</v>
      </c>
      <c r="AH23" s="7">
        <f t="shared" si="28"/>
        <v>-1.5347391722660817</v>
      </c>
    </row>
    <row r="24" spans="1:34" x14ac:dyDescent="0.3">
      <c r="A24">
        <v>2022</v>
      </c>
      <c r="B24" s="2">
        <v>4305.1123541999996</v>
      </c>
      <c r="C24" s="2">
        <v>15.634973637961336</v>
      </c>
      <c r="D24" s="2">
        <v>4569.2995572</v>
      </c>
      <c r="G24">
        <v>2022</v>
      </c>
      <c r="H24">
        <f t="shared" si="4"/>
        <v>15.634973637961336</v>
      </c>
      <c r="I24">
        <f t="shared" si="5"/>
        <v>0.63414358741841348</v>
      </c>
      <c r="J24">
        <f t="shared" si="6"/>
        <v>6788.8605035431019</v>
      </c>
      <c r="K24">
        <f t="shared" si="7"/>
        <v>0.67305839541338131</v>
      </c>
      <c r="L24">
        <f t="shared" si="8"/>
        <v>10.913445590088301</v>
      </c>
      <c r="M24" s="1">
        <f t="shared" si="9"/>
        <v>96.945903852113616</v>
      </c>
      <c r="N24">
        <f t="shared" si="10"/>
        <v>8.8831618806219037</v>
      </c>
      <c r="O24">
        <f t="shared" si="0"/>
        <v>0.69801496585774336</v>
      </c>
      <c r="P24" s="4">
        <f t="shared" si="1"/>
        <v>15.090201145224398</v>
      </c>
      <c r="Q24" s="6">
        <f t="shared" si="11"/>
        <v>-0.41984331772267502</v>
      </c>
      <c r="R24" s="6">
        <f t="shared" si="12"/>
        <v>-0.24467572455158759</v>
      </c>
      <c r="S24">
        <f t="shared" si="13"/>
        <v>4569.2995572</v>
      </c>
      <c r="T24">
        <f t="shared" si="14"/>
        <v>4305.1123541999996</v>
      </c>
      <c r="U24">
        <f t="shared" si="15"/>
        <v>4737.4019847</v>
      </c>
      <c r="V24">
        <f t="shared" si="16"/>
        <v>4463.0000330999992</v>
      </c>
      <c r="W24">
        <f t="shared" si="17"/>
        <v>13.396927086190168</v>
      </c>
      <c r="X24">
        <f t="shared" si="18"/>
        <v>15.083937375655406</v>
      </c>
      <c r="Y24">
        <f t="shared" si="19"/>
        <v>17.361336585724828</v>
      </c>
      <c r="Z24">
        <f t="shared" si="20"/>
        <v>13.257829299915482</v>
      </c>
      <c r="AA24">
        <f t="shared" si="21"/>
        <v>15.090201145224398</v>
      </c>
      <c r="AB24">
        <f t="shared" si="22"/>
        <v>2.0548855276891693</v>
      </c>
      <c r="AC24">
        <f t="shared" si="23"/>
        <v>-2.0486217581201771</v>
      </c>
      <c r="AD24">
        <f t="shared" si="24"/>
        <v>6.2637695689922168E-3</v>
      </c>
      <c r="AE24">
        <f t="shared" si="25"/>
        <v>0.50076322145091023</v>
      </c>
      <c r="AF24">
        <f t="shared" si="26"/>
        <v>-0.49923677854908977</v>
      </c>
      <c r="AG24" s="7">
        <f t="shared" si="27"/>
        <v>-0.21024209228744478</v>
      </c>
      <c r="AH24" s="7">
        <f t="shared" si="28"/>
        <v>0.20960122543523024</v>
      </c>
    </row>
    <row r="25" spans="1:34" x14ac:dyDescent="0.3">
      <c r="A25">
        <v>2023</v>
      </c>
      <c r="B25" s="2">
        <v>4104.6754707</v>
      </c>
      <c r="C25" s="2">
        <v>12.9261231281198</v>
      </c>
      <c r="D25" s="2">
        <v>4447.0900110000002</v>
      </c>
      <c r="G25">
        <v>2023</v>
      </c>
      <c r="H25">
        <f t="shared" si="4"/>
        <v>12.9261231281198</v>
      </c>
      <c r="I25">
        <f t="shared" si="5"/>
        <v>0.65444896093455684</v>
      </c>
      <c r="J25">
        <f t="shared" si="6"/>
        <v>6271.9565859475124</v>
      </c>
      <c r="K25">
        <f t="shared" si="7"/>
        <v>0.70904349385386778</v>
      </c>
      <c r="L25">
        <f t="shared" si="8"/>
        <v>7.9692081205594665</v>
      </c>
      <c r="M25" s="1">
        <f t="shared" si="9"/>
        <v>70.791765795296371</v>
      </c>
      <c r="N25">
        <f t="shared" si="10"/>
        <v>8.8831618806219037</v>
      </c>
      <c r="O25">
        <f t="shared" si="0"/>
        <v>0.61651958917388494</v>
      </c>
      <c r="P25" s="4">
        <f t="shared" si="1"/>
        <v>12.567412452575864</v>
      </c>
      <c r="Q25" s="6">
        <f t="shared" si="11"/>
        <v>-2.7088505098415361</v>
      </c>
      <c r="R25" s="6">
        <f t="shared" si="12"/>
        <v>-2.5227886926485343</v>
      </c>
      <c r="S25">
        <f t="shared" si="13"/>
        <v>4447.0900110000002</v>
      </c>
      <c r="T25">
        <f t="shared" si="14"/>
        <v>4104.6754707</v>
      </c>
      <c r="U25">
        <f t="shared" si="15"/>
        <v>4569.2995572</v>
      </c>
      <c r="V25">
        <f t="shared" si="16"/>
        <v>4305.1123541999996</v>
      </c>
      <c r="W25">
        <f t="shared" si="17"/>
        <v>11.075831214328623</v>
      </c>
      <c r="X25">
        <f t="shared" si="18"/>
        <v>13.470041489474411</v>
      </c>
      <c r="Y25">
        <f t="shared" si="19"/>
        <v>14.844643192767517</v>
      </c>
      <c r="Z25">
        <f t="shared" si="20"/>
        <v>11.536582898821141</v>
      </c>
      <c r="AA25">
        <f t="shared" si="21"/>
        <v>12.567412452575864</v>
      </c>
      <c r="AB25">
        <f t="shared" si="22"/>
        <v>1.2027156285239142</v>
      </c>
      <c r="AC25">
        <f t="shared" si="23"/>
        <v>-2.1053446654224617</v>
      </c>
      <c r="AD25">
        <f t="shared" si="24"/>
        <v>-0.90262903689854745</v>
      </c>
      <c r="AE25">
        <f t="shared" si="25"/>
        <v>0.36357125374190968</v>
      </c>
      <c r="AF25">
        <f t="shared" si="26"/>
        <v>-0.63642874625809032</v>
      </c>
      <c r="AG25" s="7">
        <f t="shared" si="27"/>
        <v>-0.98486017606249854</v>
      </c>
      <c r="AH25" s="7">
        <f t="shared" si="28"/>
        <v>1.7239903337790377</v>
      </c>
    </row>
    <row r="26" spans="1:34" x14ac:dyDescent="0.3">
      <c r="A26">
        <v>2024</v>
      </c>
      <c r="B26" s="2">
        <v>4420.8182655000001</v>
      </c>
      <c r="C26" s="2">
        <v>10.195280716029293</v>
      </c>
      <c r="D26" s="2">
        <v>4745.6325735</v>
      </c>
      <c r="G26">
        <v>2024</v>
      </c>
      <c r="H26">
        <f t="shared" si="4"/>
        <v>10.195280716029293</v>
      </c>
      <c r="I26">
        <f t="shared" si="5"/>
        <v>0.68069108004700829</v>
      </c>
      <c r="J26">
        <f t="shared" si="6"/>
        <v>6494.6029044404404</v>
      </c>
      <c r="K26">
        <f t="shared" si="7"/>
        <v>0.73070403892674518</v>
      </c>
      <c r="L26">
        <f t="shared" si="8"/>
        <v>6.6454776303264076</v>
      </c>
      <c r="M26" s="1">
        <f t="shared" si="9"/>
        <v>59.032853564241123</v>
      </c>
      <c r="N26">
        <f t="shared" si="10"/>
        <v>8.8831618806219037</v>
      </c>
      <c r="O26">
        <f t="shared" si="0"/>
        <v>0.65181899502563057</v>
      </c>
      <c r="P26" s="4">
        <f t="shared" si="1"/>
        <v>11.433165521940712</v>
      </c>
      <c r="Q26" s="6">
        <f t="shared" si="11"/>
        <v>-2.7308424120905066</v>
      </c>
      <c r="R26" s="6">
        <f t="shared" si="12"/>
        <v>-1.1342469306351521</v>
      </c>
      <c r="S26">
        <f t="shared" si="13"/>
        <v>4745.6325735</v>
      </c>
      <c r="T26">
        <f t="shared" si="14"/>
        <v>4420.8182655000001</v>
      </c>
      <c r="U26">
        <f t="shared" si="15"/>
        <v>4447.0900110000002</v>
      </c>
      <c r="V26">
        <f t="shared" si="16"/>
        <v>4104.6754707</v>
      </c>
      <c r="W26">
        <f t="shared" si="17"/>
        <v>8.7358914404728516</v>
      </c>
      <c r="X26">
        <f t="shared" si="18"/>
        <v>11.12479374450667</v>
      </c>
      <c r="Y26">
        <f t="shared" si="19"/>
        <v>9.3773805922453288</v>
      </c>
      <c r="Z26">
        <f t="shared" si="20"/>
        <v>14.167900304329759</v>
      </c>
      <c r="AA26">
        <f t="shared" si="21"/>
        <v>11.433165521940712</v>
      </c>
      <c r="AB26">
        <f t="shared" si="22"/>
        <v>-2.2410739673251943</v>
      </c>
      <c r="AC26">
        <f t="shared" si="23"/>
        <v>2.549445744759236</v>
      </c>
      <c r="AD26">
        <f t="shared" si="24"/>
        <v>0.30837177743404176</v>
      </c>
      <c r="AE26">
        <f t="shared" si="25"/>
        <v>-0.46781437130337322</v>
      </c>
      <c r="AF26">
        <f t="shared" si="26"/>
        <v>0.53218562869662678</v>
      </c>
      <c r="AG26" s="7">
        <f t="shared" si="27"/>
        <v>1.2775273261407076</v>
      </c>
      <c r="AH26" s="7">
        <f t="shared" si="28"/>
        <v>-1.453315085949799</v>
      </c>
    </row>
    <row r="27" spans="1:34" x14ac:dyDescent="0.3">
      <c r="A27">
        <v>2025</v>
      </c>
      <c r="B27" s="2">
        <v>4256.9781071999996</v>
      </c>
      <c r="C27" s="2">
        <v>10.199999999999999</v>
      </c>
      <c r="D27" s="2">
        <v>4606.6679000999993</v>
      </c>
      <c r="G27">
        <v>2025</v>
      </c>
      <c r="H27">
        <f t="shared" si="4"/>
        <v>10.199999999999999</v>
      </c>
      <c r="I27">
        <f t="shared" si="5"/>
        <v>0.68063889769176422</v>
      </c>
      <c r="J27">
        <f t="shared" si="6"/>
        <v>6254.3855804253863</v>
      </c>
      <c r="K27">
        <f t="shared" si="7"/>
        <v>0.73655003211149661</v>
      </c>
      <c r="L27">
        <f t="shared" si="8"/>
        <v>6.3333773979237442</v>
      </c>
      <c r="M27" s="1">
        <f t="shared" si="9"/>
        <v>56.260416676828548</v>
      </c>
      <c r="N27">
        <f t="shared" si="10"/>
        <v>8.8831618806219037</v>
      </c>
      <c r="O27">
        <f t="shared" si="0"/>
        <v>0.62091935273762244</v>
      </c>
      <c r="P27" s="4">
        <f t="shared" si="1"/>
        <v>11.165740443146234</v>
      </c>
      <c r="Q27" s="6">
        <f t="shared" si="11"/>
        <v>4.7192839707062006E-3</v>
      </c>
      <c r="R27" s="6">
        <f t="shared" si="12"/>
        <v>-0.26742507879447786</v>
      </c>
      <c r="S27">
        <f t="shared" si="13"/>
        <v>4606.6679000999993</v>
      </c>
      <c r="T27">
        <f t="shared" si="14"/>
        <v>4256.9781071999996</v>
      </c>
      <c r="U27">
        <f t="shared" si="15"/>
        <v>4745.6325735</v>
      </c>
      <c r="V27">
        <f t="shared" si="16"/>
        <v>4420.8182655000001</v>
      </c>
      <c r="W27">
        <f t="shared" si="17"/>
        <v>8.7399351891045125</v>
      </c>
      <c r="X27">
        <f t="shared" si="18"/>
        <v>11.435801314109938</v>
      </c>
      <c r="Y27">
        <f t="shared" si="19"/>
        <v>12.555261975937114</v>
      </c>
      <c r="Z27">
        <f t="shared" si="20"/>
        <v>10.274484370986299</v>
      </c>
      <c r="AA27">
        <f t="shared" si="21"/>
        <v>11.165740443146234</v>
      </c>
      <c r="AB27">
        <f t="shared" si="22"/>
        <v>1.0053583669935557</v>
      </c>
      <c r="AC27">
        <f t="shared" si="23"/>
        <v>-1.2754192379572595</v>
      </c>
      <c r="AD27">
        <f t="shared" si="24"/>
        <v>-0.27006087096370379</v>
      </c>
      <c r="AE27">
        <f t="shared" si="25"/>
        <v>0.44079631648927742</v>
      </c>
      <c r="AF27">
        <f t="shared" si="26"/>
        <v>-0.55920368351072258</v>
      </c>
      <c r="AG27" s="7">
        <f t="shared" si="27"/>
        <v>2.0802429907541844E-3</v>
      </c>
      <c r="AH27" s="7">
        <f t="shared" si="28"/>
        <v>-2.6390409799520163E-3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1BEC-5C60-4B7D-AC25-158F3B1D94D8}">
  <dimension ref="A1:D26"/>
  <sheetViews>
    <sheetView workbookViewId="0"/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4" x14ac:dyDescent="0.3">
      <c r="A1" t="s">
        <v>0</v>
      </c>
      <c r="B1" t="s">
        <v>46</v>
      </c>
      <c r="C1" t="s">
        <v>45</v>
      </c>
      <c r="D1" t="s">
        <v>44</v>
      </c>
    </row>
    <row r="2" spans="1:4" x14ac:dyDescent="0.3">
      <c r="A2">
        <v>2001</v>
      </c>
      <c r="B2" s="8">
        <f>ggggg!Q3</f>
        <v>-0.58492306119319082</v>
      </c>
      <c r="C2" s="8">
        <f>ggggg!AG3</f>
        <v>0.2290237045044691</v>
      </c>
      <c r="D2" s="8">
        <f>ggggg!AH3</f>
        <v>-0.35589935668872169</v>
      </c>
    </row>
    <row r="3" spans="1:4" x14ac:dyDescent="0.3">
      <c r="A3">
        <v>2002</v>
      </c>
      <c r="B3" s="8">
        <f>ggggg!Q4</f>
        <v>2.0207935581180365</v>
      </c>
      <c r="C3" s="8">
        <f>ggggg!AG4</f>
        <v>1.0723367083517974</v>
      </c>
      <c r="D3" s="8">
        <f>ggggg!AH4</f>
        <v>-0.94845684976623934</v>
      </c>
    </row>
    <row r="4" spans="1:4" x14ac:dyDescent="0.3">
      <c r="A4">
        <v>2003</v>
      </c>
      <c r="B4" s="8">
        <f>ggggg!Q5</f>
        <v>3.1338469336149402</v>
      </c>
      <c r="C4" s="8">
        <f>ggggg!AG5</f>
        <v>1.6900238490223631</v>
      </c>
      <c r="D4" s="8">
        <f>ggggg!AH5</f>
        <v>-1.4438230845925772</v>
      </c>
    </row>
    <row r="5" spans="1:4" x14ac:dyDescent="0.3">
      <c r="A5">
        <v>2004</v>
      </c>
      <c r="B5" s="8">
        <f>ggggg!Q6</f>
        <v>-3.3103630723781379</v>
      </c>
      <c r="C5" s="8">
        <f>ggggg!AG6</f>
        <v>1.7950017266681768</v>
      </c>
      <c r="D5" s="8">
        <f>ggggg!AH6</f>
        <v>-1.5153613457099608</v>
      </c>
    </row>
    <row r="6" spans="1:4" x14ac:dyDescent="0.3">
      <c r="A6">
        <v>2005</v>
      </c>
      <c r="B6" s="8">
        <f>ggggg!Q7</f>
        <v>-0.38341450488145057</v>
      </c>
      <c r="C6" s="8">
        <f>ggggg!AG7</f>
        <v>0.15922090205044406</v>
      </c>
      <c r="D6" s="8">
        <f>ggggg!AH7</f>
        <v>0.22419360283100648</v>
      </c>
    </row>
    <row r="7" spans="1:4" x14ac:dyDescent="0.3">
      <c r="A7">
        <v>2006</v>
      </c>
      <c r="B7" s="8">
        <f>ggggg!Q8</f>
        <v>1.0853676383964341</v>
      </c>
      <c r="C7" s="8">
        <f>ggggg!AG8</f>
        <v>-0.62548348707549561</v>
      </c>
      <c r="D7" s="8">
        <f>ggggg!AH8</f>
        <v>0.45988415132093852</v>
      </c>
    </row>
    <row r="8" spans="1:4" x14ac:dyDescent="0.3">
      <c r="A8">
        <v>2007</v>
      </c>
      <c r="B8" s="8">
        <f>ggggg!Q9</f>
        <v>5.6096853985951061</v>
      </c>
      <c r="C8" s="8">
        <f>ggggg!AG9</f>
        <v>5.215189847666414</v>
      </c>
      <c r="D8" s="8">
        <f>ggggg!AH9</f>
        <v>-0.39449555092869165</v>
      </c>
    </row>
    <row r="9" spans="1:4" x14ac:dyDescent="0.3">
      <c r="A9">
        <v>2008</v>
      </c>
      <c r="B9" s="8">
        <f>ggggg!Q10</f>
        <v>-1.048415149025514</v>
      </c>
      <c r="C9" s="8">
        <f>ggggg!AG10</f>
        <v>-0.93483784090793209</v>
      </c>
      <c r="D9" s="8">
        <f>ggggg!AH10</f>
        <v>0.11357730811758202</v>
      </c>
    </row>
    <row r="10" spans="1:4" x14ac:dyDescent="0.3">
      <c r="A10" s="3">
        <v>2009</v>
      </c>
      <c r="B10" s="8">
        <f>ggggg!Q11</f>
        <v>-0.86594304120423438</v>
      </c>
      <c r="C10" s="8">
        <f>ggggg!AG11</f>
        <v>0.43200078283620041</v>
      </c>
      <c r="D10" s="8">
        <f>ggggg!AH11</f>
        <v>-0.43394225836803396</v>
      </c>
    </row>
    <row r="11" spans="1:4" x14ac:dyDescent="0.3">
      <c r="A11">
        <v>2010</v>
      </c>
      <c r="B11" s="8">
        <f>ggggg!Q12</f>
        <v>2.4904226884226901</v>
      </c>
      <c r="C11" s="8">
        <f>ggggg!AG12</f>
        <v>0.41509164029789619</v>
      </c>
      <c r="D11" s="8">
        <f>ggggg!AH12</f>
        <v>-2.0753310481247942</v>
      </c>
    </row>
    <row r="12" spans="1:4" x14ac:dyDescent="0.3">
      <c r="A12">
        <v>2011</v>
      </c>
      <c r="B12" s="8">
        <f>ggggg!Q13</f>
        <v>1.156410419989367</v>
      </c>
      <c r="C12" s="8">
        <f>ggggg!AG13</f>
        <v>0.65166550342751051</v>
      </c>
      <c r="D12" s="8">
        <f>ggggg!AH13</f>
        <v>-0.50474491656185649</v>
      </c>
    </row>
    <row r="13" spans="1:4" x14ac:dyDescent="0.3">
      <c r="A13">
        <v>2012</v>
      </c>
      <c r="B13" s="8">
        <f>ggggg!Q14</f>
        <v>2.2785468236802053</v>
      </c>
      <c r="C13" s="8">
        <f>ggggg!AG14</f>
        <v>1.377944442864369</v>
      </c>
      <c r="D13" s="8">
        <f>ggggg!AH14</f>
        <v>-0.90060238081583632</v>
      </c>
    </row>
    <row r="14" spans="1:4" x14ac:dyDescent="0.3">
      <c r="A14">
        <v>2013</v>
      </c>
      <c r="B14" s="8">
        <f>ggggg!Q15</f>
        <v>-2.274425628303316</v>
      </c>
      <c r="C14" s="8">
        <f>ggggg!AG15</f>
        <v>1.0427076809002429</v>
      </c>
      <c r="D14" s="8">
        <f>ggggg!AH15</f>
        <v>-1.2317179474030731</v>
      </c>
    </row>
    <row r="15" spans="1:4" x14ac:dyDescent="0.3">
      <c r="A15">
        <v>2014</v>
      </c>
      <c r="B15" s="8">
        <f>ggggg!Q16</f>
        <v>-4.4006124234470665</v>
      </c>
      <c r="C15" s="8">
        <f>ggggg!AG16</f>
        <v>2.3932201630027117</v>
      </c>
      <c r="D15" s="8">
        <f>ggggg!AH16</f>
        <v>-2.0073922604443548</v>
      </c>
    </row>
    <row r="16" spans="1:4" x14ac:dyDescent="0.3">
      <c r="A16">
        <v>2015</v>
      </c>
      <c r="B16" s="8">
        <f>ggggg!Q17</f>
        <v>-1.8116930645548344</v>
      </c>
      <c r="C16" s="8">
        <f>ggggg!AG17</f>
        <v>0.91655993136813885</v>
      </c>
      <c r="D16" s="8">
        <f>ggggg!AH17</f>
        <v>-0.89513313318669552</v>
      </c>
    </row>
    <row r="17" spans="1:4" x14ac:dyDescent="0.3">
      <c r="A17">
        <v>2016</v>
      </c>
      <c r="B17" s="8">
        <f>ggggg!Q18</f>
        <v>0.66224802209579892</v>
      </c>
      <c r="C17" s="8">
        <f>ggggg!AG18</f>
        <v>-0.37396471936116621</v>
      </c>
      <c r="D17" s="8">
        <f>ggggg!AH18</f>
        <v>0.28828330273463271</v>
      </c>
    </row>
    <row r="18" spans="1:4" x14ac:dyDescent="0.3">
      <c r="A18">
        <v>2017</v>
      </c>
      <c r="B18" s="8">
        <f>ggggg!Q19</f>
        <v>-0.2962670410225261</v>
      </c>
      <c r="C18" s="8">
        <f>ggggg!AG19</f>
        <v>0.20959851034676003</v>
      </c>
      <c r="D18" s="8">
        <f>ggggg!AH19</f>
        <v>-8.6668530675766076E-2</v>
      </c>
    </row>
    <row r="19" spans="1:4" x14ac:dyDescent="0.3">
      <c r="A19">
        <v>2018</v>
      </c>
      <c r="B19" s="8">
        <f>ggggg!Q20</f>
        <v>-1.2918364545301344</v>
      </c>
      <c r="C19" s="8">
        <f>ggggg!AG20</f>
        <v>0.34977616080598101</v>
      </c>
      <c r="D19" s="8">
        <f>ggggg!AH20</f>
        <v>0.94206029372415334</v>
      </c>
    </row>
    <row r="20" spans="1:4" x14ac:dyDescent="0.3">
      <c r="A20">
        <v>2019</v>
      </c>
      <c r="B20" s="8">
        <f>ggggg!Q21</f>
        <v>-9.1481535450194329E-2</v>
      </c>
      <c r="C20" s="8">
        <f>ggggg!AG21</f>
        <v>-9.0827732889293342E-2</v>
      </c>
      <c r="D20" s="8">
        <f>ggggg!AH21</f>
        <v>6.5380256090097734E-4</v>
      </c>
    </row>
    <row r="21" spans="1:4" x14ac:dyDescent="0.3">
      <c r="A21">
        <v>2020</v>
      </c>
      <c r="B21" s="8">
        <f>ggggg!Q22</f>
        <v>2.4392078512396704</v>
      </c>
      <c r="C21" s="8">
        <f>ggggg!AG22</f>
        <v>-0.7876781623876965</v>
      </c>
      <c r="D21" s="8">
        <f>ggggg!AH22</f>
        <v>1.6515296888519739</v>
      </c>
    </row>
    <row r="22" spans="1:4" x14ac:dyDescent="0.3">
      <c r="A22">
        <v>2021</v>
      </c>
      <c r="B22" s="8">
        <f>ggggg!Q23</f>
        <v>2.5224169556840081</v>
      </c>
      <c r="C22" s="8">
        <f>ggggg!AG23</f>
        <v>0.98767778341792622</v>
      </c>
      <c r="D22" s="8">
        <f>ggggg!AH23</f>
        <v>-1.5347391722660817</v>
      </c>
    </row>
    <row r="23" spans="1:4" x14ac:dyDescent="0.3">
      <c r="A23">
        <v>2022</v>
      </c>
      <c r="B23" s="8">
        <f>ggggg!Q24</f>
        <v>-0.41984331772267502</v>
      </c>
      <c r="C23" s="8">
        <f>ggggg!AG24</f>
        <v>-0.21024209228744478</v>
      </c>
      <c r="D23" s="8">
        <f>ggggg!AH24</f>
        <v>0.20960122543523024</v>
      </c>
    </row>
    <row r="24" spans="1:4" x14ac:dyDescent="0.3">
      <c r="A24">
        <v>2023</v>
      </c>
      <c r="B24" s="8">
        <f>ggggg!Q25</f>
        <v>-2.7088505098415361</v>
      </c>
      <c r="C24" s="8">
        <f>ggggg!AG25</f>
        <v>-0.98486017606249854</v>
      </c>
      <c r="D24" s="8">
        <f>ggggg!AH25</f>
        <v>1.7239903337790377</v>
      </c>
    </row>
    <row r="25" spans="1:4" x14ac:dyDescent="0.3">
      <c r="A25">
        <v>2024</v>
      </c>
      <c r="B25" s="8">
        <f>ggggg!Q26</f>
        <v>-2.7308424120905066</v>
      </c>
      <c r="C25" s="8">
        <f>ggggg!AG26</f>
        <v>1.2775273261407076</v>
      </c>
      <c r="D25" s="8">
        <f>ggggg!AH26</f>
        <v>-1.453315085949799</v>
      </c>
    </row>
    <row r="26" spans="1:4" x14ac:dyDescent="0.3">
      <c r="A26">
        <v>2025</v>
      </c>
      <c r="B26" s="8">
        <f>ggggg!Q27</f>
        <v>4.7192839707062006E-3</v>
      </c>
      <c r="C26" s="8">
        <f>ggggg!AG27</f>
        <v>2.0802429907541844E-3</v>
      </c>
      <c r="D26" s="8">
        <f>ggggg!AH27</f>
        <v>-2.6390409799520163E-3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0894-7993-47D0-83FF-20D83D910281}">
  <dimension ref="A1:D26"/>
  <sheetViews>
    <sheetView workbookViewId="0"/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4" x14ac:dyDescent="0.3">
      <c r="A1" t="s">
        <v>0</v>
      </c>
      <c r="B1" t="s">
        <v>46</v>
      </c>
      <c r="C1" t="s">
        <v>45</v>
      </c>
      <c r="D1" t="s">
        <v>44</v>
      </c>
    </row>
    <row r="2" spans="1:4" x14ac:dyDescent="0.3">
      <c r="A2">
        <v>2001</v>
      </c>
      <c r="B2" s="8">
        <f>ggggg!Q3</f>
        <v>-0.58492306119319082</v>
      </c>
      <c r="C2" s="8">
        <f>ggggg!AG3</f>
        <v>0.2290237045044691</v>
      </c>
      <c r="D2" s="8">
        <f>ggggg!AH3</f>
        <v>-0.35589935668872169</v>
      </c>
    </row>
    <row r="3" spans="1:4" x14ac:dyDescent="0.3">
      <c r="A3">
        <v>2002</v>
      </c>
      <c r="B3" s="8">
        <f>ggggg!Q4</f>
        <v>2.0207935581180365</v>
      </c>
      <c r="C3" s="8">
        <f>ggggg!AG4</f>
        <v>1.0723367083517974</v>
      </c>
      <c r="D3" s="8">
        <f>ggggg!AH4</f>
        <v>-0.94845684976623934</v>
      </c>
    </row>
    <row r="4" spans="1:4" x14ac:dyDescent="0.3">
      <c r="A4">
        <v>2003</v>
      </c>
      <c r="B4" s="8">
        <f>ggggg!Q5</f>
        <v>3.1338469336149402</v>
      </c>
      <c r="C4" s="8">
        <f>ggggg!AG5</f>
        <v>1.6900238490223631</v>
      </c>
      <c r="D4" s="8">
        <f>ggggg!AH5</f>
        <v>-1.4438230845925772</v>
      </c>
    </row>
    <row r="5" spans="1:4" x14ac:dyDescent="0.3">
      <c r="A5">
        <v>2004</v>
      </c>
      <c r="B5" s="8">
        <f>ggggg!Q6</f>
        <v>-3.3103630723781379</v>
      </c>
      <c r="C5" s="8">
        <f>ggggg!AG6</f>
        <v>1.7950017266681768</v>
      </c>
      <c r="D5" s="8">
        <f>ggggg!AH6</f>
        <v>-1.5153613457099608</v>
      </c>
    </row>
    <row r="6" spans="1:4" x14ac:dyDescent="0.3">
      <c r="A6">
        <v>2005</v>
      </c>
      <c r="B6" s="8">
        <f>ggggg!Q7</f>
        <v>-0.38341450488145057</v>
      </c>
      <c r="C6" s="8">
        <f>ggggg!AG7</f>
        <v>0.15922090205044406</v>
      </c>
      <c r="D6" s="8">
        <f>ggggg!AH7</f>
        <v>0.22419360283100648</v>
      </c>
    </row>
    <row r="7" spans="1:4" x14ac:dyDescent="0.3">
      <c r="A7">
        <v>2006</v>
      </c>
      <c r="B7" s="8">
        <f>ggggg!Q8</f>
        <v>1.0853676383964341</v>
      </c>
      <c r="C7" s="8">
        <f>ggggg!AG8</f>
        <v>-0.62548348707549561</v>
      </c>
      <c r="D7" s="8">
        <f>ggggg!AH8</f>
        <v>0.45988415132093852</v>
      </c>
    </row>
    <row r="8" spans="1:4" x14ac:dyDescent="0.3">
      <c r="A8">
        <v>2007</v>
      </c>
      <c r="B8" s="8">
        <f>ggggg!Q9</f>
        <v>5.6096853985951061</v>
      </c>
      <c r="C8" s="8">
        <f>ggggg!AG9</f>
        <v>5.215189847666414</v>
      </c>
      <c r="D8" s="8">
        <f>ggggg!AH9</f>
        <v>-0.39449555092869165</v>
      </c>
    </row>
    <row r="9" spans="1:4" x14ac:dyDescent="0.3">
      <c r="A9">
        <v>2008</v>
      </c>
      <c r="B9" s="8">
        <f>ggggg!Q10</f>
        <v>-1.048415149025514</v>
      </c>
      <c r="C9" s="8">
        <f>ggggg!AG10</f>
        <v>-0.93483784090793209</v>
      </c>
      <c r="D9" s="8">
        <f>ggggg!AH10</f>
        <v>0.11357730811758202</v>
      </c>
    </row>
    <row r="10" spans="1:4" x14ac:dyDescent="0.3">
      <c r="A10" s="3">
        <v>2009</v>
      </c>
      <c r="B10" s="8">
        <f>ggggg!Q11</f>
        <v>-0.86594304120423438</v>
      </c>
      <c r="C10" s="8">
        <f>ggggg!AG11</f>
        <v>0.43200078283620041</v>
      </c>
      <c r="D10" s="8">
        <f>ggggg!AH11</f>
        <v>-0.43394225836803396</v>
      </c>
    </row>
    <row r="11" spans="1:4" x14ac:dyDescent="0.3">
      <c r="A11">
        <v>2010</v>
      </c>
      <c r="B11" s="8">
        <f>ggggg!Q12</f>
        <v>2.4904226884226901</v>
      </c>
      <c r="C11" s="8">
        <f>ggggg!AG12</f>
        <v>0.41509164029789619</v>
      </c>
      <c r="D11" s="8">
        <f>ggggg!AH12</f>
        <v>-2.0753310481247942</v>
      </c>
    </row>
    <row r="12" spans="1:4" x14ac:dyDescent="0.3">
      <c r="A12">
        <v>2011</v>
      </c>
      <c r="B12" s="8">
        <f>ggggg!Q13</f>
        <v>1.156410419989367</v>
      </c>
      <c r="C12" s="8">
        <f>ggggg!AG13</f>
        <v>0.65166550342751051</v>
      </c>
      <c r="D12" s="8">
        <f>ggggg!AH13</f>
        <v>-0.50474491656185649</v>
      </c>
    </row>
    <row r="13" spans="1:4" x14ac:dyDescent="0.3">
      <c r="A13">
        <v>2012</v>
      </c>
      <c r="B13" s="8">
        <f>ggggg!Q14</f>
        <v>2.2785468236802053</v>
      </c>
      <c r="C13" s="8">
        <f>ggggg!AG14</f>
        <v>1.377944442864369</v>
      </c>
      <c r="D13" s="8">
        <f>ggggg!AH14</f>
        <v>-0.90060238081583632</v>
      </c>
    </row>
    <row r="14" spans="1:4" x14ac:dyDescent="0.3">
      <c r="A14">
        <v>2013</v>
      </c>
      <c r="B14" s="8">
        <f>ggggg!Q15</f>
        <v>-2.274425628303316</v>
      </c>
      <c r="C14" s="8">
        <f>ggggg!AG15</f>
        <v>1.0427076809002429</v>
      </c>
      <c r="D14" s="8">
        <f>ggggg!AH15</f>
        <v>-1.2317179474030731</v>
      </c>
    </row>
    <row r="15" spans="1:4" x14ac:dyDescent="0.3">
      <c r="A15">
        <v>2014</v>
      </c>
      <c r="B15" s="8">
        <f>ggggg!Q16</f>
        <v>-4.4006124234470665</v>
      </c>
      <c r="C15" s="8">
        <f>ggggg!AG16</f>
        <v>2.3932201630027117</v>
      </c>
      <c r="D15" s="8">
        <f>ggggg!AH16</f>
        <v>-2.0073922604443548</v>
      </c>
    </row>
    <row r="16" spans="1:4" x14ac:dyDescent="0.3">
      <c r="A16">
        <v>2015</v>
      </c>
      <c r="B16" s="8">
        <f>ggggg!Q17</f>
        <v>-1.8116930645548344</v>
      </c>
      <c r="C16" s="8">
        <f>ggggg!AG17</f>
        <v>0.91655993136813885</v>
      </c>
      <c r="D16" s="8">
        <f>ggggg!AH17</f>
        <v>-0.89513313318669552</v>
      </c>
    </row>
    <row r="17" spans="1:4" x14ac:dyDescent="0.3">
      <c r="A17">
        <v>2016</v>
      </c>
      <c r="B17" s="8">
        <f>ggggg!Q18</f>
        <v>0.66224802209579892</v>
      </c>
      <c r="C17" s="8">
        <f>ggggg!AG18</f>
        <v>-0.37396471936116621</v>
      </c>
      <c r="D17" s="8">
        <f>ggggg!AH18</f>
        <v>0.28828330273463271</v>
      </c>
    </row>
    <row r="18" spans="1:4" x14ac:dyDescent="0.3">
      <c r="A18">
        <v>2017</v>
      </c>
      <c r="B18" s="8">
        <f>ggggg!Q19</f>
        <v>-0.2962670410225261</v>
      </c>
      <c r="C18" s="8">
        <f>ggggg!AG19</f>
        <v>0.20959851034676003</v>
      </c>
      <c r="D18" s="8">
        <f>ggggg!AH19</f>
        <v>-8.6668530675766076E-2</v>
      </c>
    </row>
    <row r="19" spans="1:4" x14ac:dyDescent="0.3">
      <c r="A19">
        <v>2018</v>
      </c>
      <c r="B19" s="8">
        <f>ggggg!Q20</f>
        <v>-1.2918364545301344</v>
      </c>
      <c r="C19" s="8">
        <f>ggggg!AG20</f>
        <v>0.34977616080598101</v>
      </c>
      <c r="D19" s="8">
        <f>ggggg!AH20</f>
        <v>0.94206029372415334</v>
      </c>
    </row>
    <row r="20" spans="1:4" x14ac:dyDescent="0.3">
      <c r="A20">
        <v>2019</v>
      </c>
      <c r="B20" s="8">
        <f>ggggg!Q21</f>
        <v>-9.1481535450194329E-2</v>
      </c>
      <c r="C20" s="8">
        <f>ggggg!AG21</f>
        <v>-9.0827732889293342E-2</v>
      </c>
      <c r="D20" s="8">
        <f>ggggg!AH21</f>
        <v>6.5380256090097734E-4</v>
      </c>
    </row>
    <row r="21" spans="1:4" x14ac:dyDescent="0.3">
      <c r="A21">
        <v>2020</v>
      </c>
      <c r="B21" s="8">
        <f>ggggg!Q22</f>
        <v>2.4392078512396704</v>
      </c>
      <c r="C21" s="8">
        <f>ggggg!AG22</f>
        <v>-0.7876781623876965</v>
      </c>
      <c r="D21" s="8">
        <f>ggggg!AH22</f>
        <v>1.6515296888519739</v>
      </c>
    </row>
    <row r="22" spans="1:4" x14ac:dyDescent="0.3">
      <c r="A22">
        <v>2021</v>
      </c>
      <c r="B22" s="8">
        <f>ggggg!Q23</f>
        <v>2.5224169556840081</v>
      </c>
      <c r="C22" s="8">
        <f>ggggg!AG23</f>
        <v>0.98767778341792622</v>
      </c>
      <c r="D22" s="8">
        <f>ggggg!AH23</f>
        <v>-1.5347391722660817</v>
      </c>
    </row>
    <row r="23" spans="1:4" x14ac:dyDescent="0.3">
      <c r="A23">
        <v>2022</v>
      </c>
      <c r="B23" s="8">
        <f>ggggg!Q24</f>
        <v>-0.41984331772267502</v>
      </c>
      <c r="C23" s="8">
        <f>ggggg!AG24</f>
        <v>-0.21024209228744478</v>
      </c>
      <c r="D23" s="8">
        <f>ggggg!AH24</f>
        <v>0.20960122543523024</v>
      </c>
    </row>
    <row r="24" spans="1:4" x14ac:dyDescent="0.3">
      <c r="A24">
        <v>2023</v>
      </c>
      <c r="B24" s="8">
        <f>ggggg!Q25</f>
        <v>-2.7088505098415361</v>
      </c>
      <c r="C24" s="8">
        <f>ggggg!AG25</f>
        <v>-0.98486017606249854</v>
      </c>
      <c r="D24" s="8">
        <f>ggggg!AH25</f>
        <v>1.7239903337790377</v>
      </c>
    </row>
    <row r="25" spans="1:4" x14ac:dyDescent="0.3">
      <c r="A25">
        <v>2024</v>
      </c>
      <c r="B25" s="8">
        <f>ggggg!Q26</f>
        <v>-2.7308424120905066</v>
      </c>
      <c r="C25" s="8">
        <f>ggggg!AG26</f>
        <v>1.2775273261407076</v>
      </c>
      <c r="D25" s="8">
        <f>ggggg!AH26</f>
        <v>-1.453315085949799</v>
      </c>
    </row>
    <row r="26" spans="1:4" x14ac:dyDescent="0.3">
      <c r="A26">
        <v>2025</v>
      </c>
      <c r="B26" s="8">
        <f>ggggg!Q27</f>
        <v>4.7192839707062006E-3</v>
      </c>
      <c r="C26" s="8">
        <f>ggggg!AG27</f>
        <v>2.0802429907541844E-3</v>
      </c>
      <c r="D26" s="8">
        <f>ggggg!AH27</f>
        <v>-2.6390409799520163E-3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ggggg</vt:lpstr>
      <vt:lpstr>chart1</vt:lpstr>
      <vt:lpstr>chart2</vt:lpstr>
    </vt:vector>
  </TitlesOfParts>
  <Company>Murray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Young</dc:creator>
  <cp:lastModifiedBy>Jeffrey Young</cp:lastModifiedBy>
  <dcterms:created xsi:type="dcterms:W3CDTF">2026-03-02T21:57:48Z</dcterms:created>
  <dcterms:modified xsi:type="dcterms:W3CDTF">2026-03-26T21:24:54Z</dcterms:modified>
</cp:coreProperties>
</file>